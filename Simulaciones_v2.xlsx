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L:\13. Innovacion (IR)\Split Factor\"/>
    </mc:Choice>
  </mc:AlternateContent>
  <xr:revisionPtr revIDLastSave="0" documentId="13_ncr:1_{1EFDC6BD-C9A4-4C9A-81E7-0C7C7835AF89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 (2)" sheetId="10" r:id="rId1"/>
    <sheet name="Sheet1" sheetId="1" r:id="rId2"/>
    <sheet name="Caso 1" sheetId="4" r:id="rId3"/>
    <sheet name="Caso 1 EMp" sheetId="5" r:id="rId4"/>
    <sheet name="Caso 2" sheetId="2" r:id="rId5"/>
    <sheet name="Caso 3" sheetId="6" r:id="rId6"/>
    <sheet name="Caso 4" sheetId="8" r:id="rId7"/>
    <sheet name="Hoja1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9" l="1"/>
  <c r="J4" i="9"/>
  <c r="K5" i="9"/>
  <c r="J5" i="9"/>
  <c r="K6" i="9"/>
  <c r="J6" i="9"/>
  <c r="J2" i="9"/>
  <c r="K2" i="9"/>
  <c r="L42" i="8"/>
  <c r="K42" i="8"/>
  <c r="J42" i="8"/>
  <c r="I42" i="8"/>
  <c r="H42" i="8"/>
  <c r="G42" i="8"/>
  <c r="F42" i="8"/>
  <c r="E42" i="8"/>
  <c r="L42" i="6"/>
  <c r="K42" i="6"/>
  <c r="J42" i="6"/>
  <c r="I42" i="6"/>
  <c r="H42" i="6"/>
  <c r="G42" i="6"/>
  <c r="F42" i="6"/>
  <c r="E42" i="6"/>
  <c r="R52" i="5" l="1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R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E50" i="2" l="1"/>
  <c r="F50" i="2"/>
  <c r="G50" i="2"/>
  <c r="H50" i="2"/>
  <c r="I50" i="2"/>
  <c r="J50" i="2"/>
  <c r="K50" i="2"/>
  <c r="L50" i="2"/>
  <c r="M50" i="2"/>
  <c r="N50" i="2"/>
  <c r="O50" i="2"/>
</calcChain>
</file>

<file path=xl/sharedStrings.xml><?xml version="1.0" encoding="utf-8"?>
<sst xmlns="http://schemas.openxmlformats.org/spreadsheetml/2006/main" count="132" uniqueCount="29">
  <si>
    <t>1ra Limp. Ro.</t>
  </si>
  <si>
    <t>Jameson</t>
  </si>
  <si>
    <t>Scavenger</t>
  </si>
  <si>
    <t>1ra Limp. Scv.</t>
  </si>
  <si>
    <t>Mezclador 1</t>
  </si>
  <si>
    <t>Mezclador 2</t>
  </si>
  <si>
    <t>Simulacion</t>
  </si>
  <si>
    <t>tipo</t>
  </si>
  <si>
    <t>Equipo</t>
  </si>
  <si>
    <t>sp masa</t>
  </si>
  <si>
    <t>sp cuf</t>
  </si>
  <si>
    <t>celda</t>
  </si>
  <si>
    <t>suma</t>
  </si>
  <si>
    <t xml:space="preserve"> Jameson 1</t>
  </si>
  <si>
    <t>Jameson 2</t>
  </si>
  <si>
    <t>Mezclador 3</t>
  </si>
  <si>
    <t>M1</t>
  </si>
  <si>
    <t>M2</t>
  </si>
  <si>
    <t>M3</t>
  </si>
  <si>
    <t>Jameson 1</t>
  </si>
  <si>
    <t>Cl</t>
  </si>
  <si>
    <t>Jms</t>
  </si>
  <si>
    <t>Scv</t>
  </si>
  <si>
    <t>Cl Scv</t>
  </si>
  <si>
    <t>%Cu</t>
  </si>
  <si>
    <t xml:space="preserve">Rec Cu </t>
  </si>
  <si>
    <t>Masspull</t>
  </si>
  <si>
    <t>sf masa</t>
  </si>
  <si>
    <t>sf cuf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</si>
</sst>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ource Sans Pro"/>
      <family val="2"/>
    </font>
    <font>
      <sz val="11"/>
      <color theme="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8</xdr:row>
      <xdr:rowOff>44451</xdr:rowOff>
    </xdr:from>
    <xdr:to>
      <xdr:col>3</xdr:col>
      <xdr:colOff>685800</xdr:colOff>
      <xdr:row>11</xdr:row>
      <xdr:rowOff>171451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BB288B-73F3-4901-8632-7C68BA20D6DA}"/>
            </a:ext>
          </a:extLst>
        </xdr:cNvPr>
        <xdr:cNvSpPr/>
      </xdr:nvSpPr>
      <xdr:spPr>
        <a:xfrm>
          <a:off x="1466850" y="1517651"/>
          <a:ext cx="1504950" cy="679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1ra</a:t>
          </a:r>
          <a:r>
            <a:rPr lang="es-CL" sz="1600" b="1" baseline="0">
              <a:solidFill>
                <a:schemeClr val="tx1"/>
              </a:solidFill>
            </a:rPr>
            <a:t> Limp. Ro.</a:t>
          </a:r>
          <a:endParaRPr lang="es-CL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758825</xdr:colOff>
      <xdr:row>8</xdr:row>
      <xdr:rowOff>142876</xdr:rowOff>
    </xdr:from>
    <xdr:to>
      <xdr:col>9</xdr:col>
      <xdr:colOff>739775</xdr:colOff>
      <xdr:row>12</xdr:row>
      <xdr:rowOff>92076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D9BF84A-B931-495C-90C4-4EA7F5F202F4}"/>
            </a:ext>
          </a:extLst>
        </xdr:cNvPr>
        <xdr:cNvSpPr/>
      </xdr:nvSpPr>
      <xdr:spPr>
        <a:xfrm>
          <a:off x="6181725" y="1616076"/>
          <a:ext cx="1504950" cy="6858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Jameson 1</a:t>
          </a:r>
        </a:p>
      </xdr:txBody>
    </xdr:sp>
    <xdr:clientData/>
  </xdr:twoCellAnchor>
  <xdr:twoCellAnchor>
    <xdr:from>
      <xdr:col>12</xdr:col>
      <xdr:colOff>218141</xdr:colOff>
      <xdr:row>8</xdr:row>
      <xdr:rowOff>151093</xdr:rowOff>
    </xdr:from>
    <xdr:to>
      <xdr:col>14</xdr:col>
      <xdr:colOff>199091</xdr:colOff>
      <xdr:row>12</xdr:row>
      <xdr:rowOff>87593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0605306-ADE6-4248-B6E6-71E916D9279B}"/>
            </a:ext>
          </a:extLst>
        </xdr:cNvPr>
        <xdr:cNvSpPr/>
      </xdr:nvSpPr>
      <xdr:spPr>
        <a:xfrm>
          <a:off x="9451041" y="1624293"/>
          <a:ext cx="1504950" cy="6731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Scavenger</a:t>
          </a:r>
        </a:p>
      </xdr:txBody>
    </xdr:sp>
    <xdr:clientData/>
  </xdr:twoCellAnchor>
  <xdr:twoCellAnchor>
    <xdr:from>
      <xdr:col>12</xdr:col>
      <xdr:colOff>220406</xdr:colOff>
      <xdr:row>27</xdr:row>
      <xdr:rowOff>137388</xdr:rowOff>
    </xdr:from>
    <xdr:to>
      <xdr:col>14</xdr:col>
      <xdr:colOff>201356</xdr:colOff>
      <xdr:row>31</xdr:row>
      <xdr:rowOff>89763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56D18FE-173A-4B87-9096-E3FC3D63F1A4}"/>
            </a:ext>
          </a:extLst>
        </xdr:cNvPr>
        <xdr:cNvSpPr/>
      </xdr:nvSpPr>
      <xdr:spPr>
        <a:xfrm>
          <a:off x="9453306" y="5109438"/>
          <a:ext cx="1504950" cy="688975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1ra</a:t>
          </a:r>
          <a:r>
            <a:rPr lang="es-CL" sz="1600" b="1" baseline="0">
              <a:solidFill>
                <a:schemeClr val="tx1"/>
              </a:solidFill>
            </a:rPr>
            <a:t> Limp. Scv.</a:t>
          </a:r>
          <a:endParaRPr lang="es-CL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160429</xdr:colOff>
      <xdr:row>10</xdr:row>
      <xdr:rowOff>71142</xdr:rowOff>
    </xdr:from>
    <xdr:to>
      <xdr:col>7</xdr:col>
      <xdr:colOff>758825</xdr:colOff>
      <xdr:row>10</xdr:row>
      <xdr:rowOff>117476</xdr:rowOff>
    </xdr:to>
    <xdr:cxnSp macro="">
      <xdr:nvCxnSpPr>
        <xdr:cNvPr id="9" name="Conector: angular 8">
          <a:extLst>
            <a:ext uri="{FF2B5EF4-FFF2-40B4-BE49-F238E27FC236}">
              <a16:creationId xmlns:a16="http://schemas.microsoft.com/office/drawing/2014/main" id="{AC6D34BF-AB75-4C6A-84E0-2CC6E4E22821}"/>
            </a:ext>
          </a:extLst>
        </xdr:cNvPr>
        <xdr:cNvCxnSpPr>
          <a:cxnSpLocks/>
          <a:stCxn id="34" idx="6"/>
          <a:endCxn id="3" idx="1"/>
        </xdr:cNvCxnSpPr>
      </xdr:nvCxnSpPr>
      <xdr:spPr>
        <a:xfrm>
          <a:off x="4823143" y="1885428"/>
          <a:ext cx="1360396" cy="4633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10</xdr:row>
      <xdr:rowOff>17237</xdr:rowOff>
    </xdr:from>
    <xdr:to>
      <xdr:col>5</xdr:col>
      <xdr:colOff>562429</xdr:colOff>
      <xdr:row>10</xdr:row>
      <xdr:rowOff>71142</xdr:rowOff>
    </xdr:to>
    <xdr:cxnSp macro="">
      <xdr:nvCxnSpPr>
        <xdr:cNvPr id="10" name="Conector: angular 9">
          <a:extLst>
            <a:ext uri="{FF2B5EF4-FFF2-40B4-BE49-F238E27FC236}">
              <a16:creationId xmlns:a16="http://schemas.microsoft.com/office/drawing/2014/main" id="{3D63871C-48D2-4B89-ACDD-FA49A639DFA4}"/>
            </a:ext>
          </a:extLst>
        </xdr:cNvPr>
        <xdr:cNvCxnSpPr>
          <a:cxnSpLocks/>
          <a:stCxn id="2" idx="3"/>
          <a:endCxn id="34" idx="2"/>
        </xdr:cNvCxnSpPr>
      </xdr:nvCxnSpPr>
      <xdr:spPr>
        <a:xfrm>
          <a:off x="2971800" y="1831523"/>
          <a:ext cx="1491343" cy="53905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739775</xdr:colOff>
      <xdr:row>10</xdr:row>
      <xdr:rowOff>117476</xdr:rowOff>
    </xdr:from>
    <xdr:to>
      <xdr:col>11</xdr:col>
      <xdr:colOff>34472</xdr:colOff>
      <xdr:row>10</xdr:row>
      <xdr:rowOff>132828</xdr:rowOff>
    </xdr:to>
    <xdr:cxnSp macro="">
      <xdr:nvCxnSpPr>
        <xdr:cNvPr id="11" name="Conector: angular 10">
          <a:extLst>
            <a:ext uri="{FF2B5EF4-FFF2-40B4-BE49-F238E27FC236}">
              <a16:creationId xmlns:a16="http://schemas.microsoft.com/office/drawing/2014/main" id="{7D004391-587A-465C-BEAB-D9C0FC1DFF9B}"/>
            </a:ext>
          </a:extLst>
        </xdr:cNvPr>
        <xdr:cNvCxnSpPr>
          <a:stCxn id="3" idx="3"/>
          <a:endCxn id="51" idx="2"/>
        </xdr:cNvCxnSpPr>
      </xdr:nvCxnSpPr>
      <xdr:spPr>
        <a:xfrm>
          <a:off x="7688489" y="1931762"/>
          <a:ext cx="818697" cy="15352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208616</xdr:colOff>
      <xdr:row>12</xdr:row>
      <xdr:rowOff>87592</xdr:rowOff>
    </xdr:from>
    <xdr:to>
      <xdr:col>13</xdr:col>
      <xdr:colOff>210881</xdr:colOff>
      <xdr:row>27</xdr:row>
      <xdr:rowOff>137387</xdr:rowOff>
    </xdr:to>
    <xdr:cxnSp macro="">
      <xdr:nvCxnSpPr>
        <xdr:cNvPr id="12" name="Conector: angular 11">
          <a:extLst>
            <a:ext uri="{FF2B5EF4-FFF2-40B4-BE49-F238E27FC236}">
              <a16:creationId xmlns:a16="http://schemas.microsoft.com/office/drawing/2014/main" id="{EC078D5C-86A8-481E-8950-F7122CBF192E}"/>
            </a:ext>
          </a:extLst>
        </xdr:cNvPr>
        <xdr:cNvCxnSpPr>
          <a:cxnSpLocks/>
          <a:stCxn id="4" idx="2"/>
          <a:endCxn id="5" idx="0"/>
        </xdr:cNvCxnSpPr>
      </xdr:nvCxnSpPr>
      <xdr:spPr>
        <a:xfrm rot="16200000" flipH="1">
          <a:off x="8820851" y="3649214"/>
          <a:ext cx="2771223" cy="226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742430</xdr:colOff>
      <xdr:row>11</xdr:row>
      <xdr:rowOff>69714</xdr:rowOff>
    </xdr:from>
    <xdr:to>
      <xdr:col>12</xdr:col>
      <xdr:colOff>220407</xdr:colOff>
      <xdr:row>29</xdr:row>
      <xdr:rowOff>113575</xdr:rowOff>
    </xdr:to>
    <xdr:cxnSp macro="">
      <xdr:nvCxnSpPr>
        <xdr:cNvPr id="13" name="Conector: angular 12">
          <a:extLst>
            <a:ext uri="{FF2B5EF4-FFF2-40B4-BE49-F238E27FC236}">
              <a16:creationId xmlns:a16="http://schemas.microsoft.com/office/drawing/2014/main" id="{27D77650-A5DF-4CCB-974E-4DD971CBFCBB}"/>
            </a:ext>
          </a:extLst>
        </xdr:cNvPr>
        <xdr:cNvCxnSpPr>
          <a:cxnSpLocks/>
          <a:stCxn id="5" idx="1"/>
          <a:endCxn id="34" idx="4"/>
        </xdr:cNvCxnSpPr>
      </xdr:nvCxnSpPr>
      <xdr:spPr>
        <a:xfrm rot="10800000">
          <a:off x="4643144" y="2065428"/>
          <a:ext cx="4811977" cy="3309576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360001</xdr:colOff>
      <xdr:row>31</xdr:row>
      <xdr:rowOff>89763</xdr:rowOff>
    </xdr:from>
    <xdr:to>
      <xdr:col>13</xdr:col>
      <xdr:colOff>210882</xdr:colOff>
      <xdr:row>37</xdr:row>
      <xdr:rowOff>180001</xdr:rowOff>
    </xdr:to>
    <xdr:cxnSp macro="">
      <xdr:nvCxnSpPr>
        <xdr:cNvPr id="14" name="Conector: angular 13">
          <a:extLst>
            <a:ext uri="{FF2B5EF4-FFF2-40B4-BE49-F238E27FC236}">
              <a16:creationId xmlns:a16="http://schemas.microsoft.com/office/drawing/2014/main" id="{EBD6F276-B0FB-47F3-93CF-9D3C0B4BBEFE}"/>
            </a:ext>
          </a:extLst>
        </xdr:cNvPr>
        <xdr:cNvCxnSpPr>
          <a:cxnSpLocks/>
          <a:stCxn id="5" idx="2"/>
          <a:endCxn id="65" idx="6"/>
        </xdr:cNvCxnSpPr>
      </xdr:nvCxnSpPr>
      <xdr:spPr>
        <a:xfrm rot="5400000">
          <a:off x="7025751" y="3711013"/>
          <a:ext cx="1178809" cy="5184881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695325</xdr:colOff>
      <xdr:row>11</xdr:row>
      <xdr:rowOff>171450</xdr:rowOff>
    </xdr:from>
    <xdr:to>
      <xdr:col>6</xdr:col>
      <xdr:colOff>0</xdr:colOff>
      <xdr:row>37</xdr:row>
      <xdr:rowOff>180000</xdr:rowOff>
    </xdr:to>
    <xdr:cxnSp macro="">
      <xdr:nvCxnSpPr>
        <xdr:cNvPr id="15" name="Conector: angular 14">
          <a:extLst>
            <a:ext uri="{FF2B5EF4-FFF2-40B4-BE49-F238E27FC236}">
              <a16:creationId xmlns:a16="http://schemas.microsoft.com/office/drawing/2014/main" id="{B766E4C8-F0F2-4DDC-B9D1-584699E61E06}"/>
            </a:ext>
          </a:extLst>
        </xdr:cNvPr>
        <xdr:cNvCxnSpPr>
          <a:cxnSpLocks/>
          <a:stCxn id="2" idx="2"/>
          <a:endCxn id="65" idx="2"/>
        </xdr:cNvCxnSpPr>
      </xdr:nvCxnSpPr>
      <xdr:spPr>
        <a:xfrm rot="16200000" flipH="1">
          <a:off x="1078173" y="3308316"/>
          <a:ext cx="4725693" cy="2443389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199091</xdr:colOff>
      <xdr:row>10</xdr:row>
      <xdr:rowOff>119343</xdr:rowOff>
    </xdr:from>
    <xdr:to>
      <xdr:col>16</xdr:col>
      <xdr:colOff>586014</xdr:colOff>
      <xdr:row>10</xdr:row>
      <xdr:rowOff>121942</xdr:rowOff>
    </xdr:to>
    <xdr:cxnSp macro="">
      <xdr:nvCxnSpPr>
        <xdr:cNvPr id="16" name="Conector: angular 15">
          <a:extLst>
            <a:ext uri="{FF2B5EF4-FFF2-40B4-BE49-F238E27FC236}">
              <a16:creationId xmlns:a16="http://schemas.microsoft.com/office/drawing/2014/main" id="{53D32521-F3C6-4C00-A92D-80FC29C543A7}"/>
            </a:ext>
          </a:extLst>
        </xdr:cNvPr>
        <xdr:cNvCxnSpPr>
          <a:cxnSpLocks/>
          <a:stCxn id="4" idx="3"/>
          <a:endCxn id="62" idx="2"/>
        </xdr:cNvCxnSpPr>
      </xdr:nvCxnSpPr>
      <xdr:spPr>
        <a:xfrm>
          <a:off x="10957805" y="1933629"/>
          <a:ext cx="1910923" cy="2599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677241</xdr:colOff>
      <xdr:row>2</xdr:row>
      <xdr:rowOff>29953</xdr:rowOff>
    </xdr:from>
    <xdr:to>
      <xdr:col>2</xdr:col>
      <xdr:colOff>692150</xdr:colOff>
      <xdr:row>8</xdr:row>
      <xdr:rowOff>44450</xdr:rowOff>
    </xdr:to>
    <xdr:cxnSp macro="">
      <xdr:nvCxnSpPr>
        <xdr:cNvPr id="17" name="Conector: angular 16" descr="1&#10;">
          <a:extLst>
            <a:ext uri="{FF2B5EF4-FFF2-40B4-BE49-F238E27FC236}">
              <a16:creationId xmlns:a16="http://schemas.microsoft.com/office/drawing/2014/main" id="{5240ACA5-CA42-40A5-BB95-2600B2DBE98C}"/>
            </a:ext>
          </a:extLst>
        </xdr:cNvPr>
        <xdr:cNvCxnSpPr>
          <a:endCxn id="2" idx="0"/>
        </xdr:cNvCxnSpPr>
      </xdr:nvCxnSpPr>
      <xdr:spPr>
        <a:xfrm rot="16200000" flipH="1">
          <a:off x="1648997" y="950497"/>
          <a:ext cx="1119397" cy="14909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747485</xdr:colOff>
      <xdr:row>12</xdr:row>
      <xdr:rowOff>92077</xdr:rowOff>
    </xdr:from>
    <xdr:to>
      <xdr:col>8</xdr:col>
      <xdr:colOff>749300</xdr:colOff>
      <xdr:row>19</xdr:row>
      <xdr:rowOff>73933</xdr:rowOff>
    </xdr:to>
    <xdr:cxnSp macro="">
      <xdr:nvCxnSpPr>
        <xdr:cNvPr id="19" name="Conector: angular 18">
          <a:extLst>
            <a:ext uri="{FF2B5EF4-FFF2-40B4-BE49-F238E27FC236}">
              <a16:creationId xmlns:a16="http://schemas.microsoft.com/office/drawing/2014/main" id="{2145543C-B7EC-4C0A-9769-A8A994C3600E}"/>
            </a:ext>
          </a:extLst>
        </xdr:cNvPr>
        <xdr:cNvCxnSpPr>
          <a:cxnSpLocks/>
          <a:stCxn id="3" idx="2"/>
          <a:endCxn id="23" idx="0"/>
        </xdr:cNvCxnSpPr>
      </xdr:nvCxnSpPr>
      <xdr:spPr>
        <a:xfrm rot="5400000">
          <a:off x="6309179" y="2894240"/>
          <a:ext cx="1251856" cy="1815"/>
        </a:xfrm>
        <a:prstGeom prst="bentConnector3">
          <a:avLst>
            <a:gd name="adj1" fmla="val 50000"/>
          </a:avLst>
        </a:prstGeom>
        <a:ln w="1905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757010</xdr:colOff>
      <xdr:row>19</xdr:row>
      <xdr:rowOff>73932</xdr:rowOff>
    </xdr:from>
    <xdr:to>
      <xdr:col>9</xdr:col>
      <xdr:colOff>737960</xdr:colOff>
      <xdr:row>23</xdr:row>
      <xdr:rowOff>23132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BC622C38-CF32-4016-B2D7-74D0551C4599}"/>
            </a:ext>
          </a:extLst>
        </xdr:cNvPr>
        <xdr:cNvSpPr/>
      </xdr:nvSpPr>
      <xdr:spPr>
        <a:xfrm>
          <a:off x="6181724" y="3521075"/>
          <a:ext cx="1504950" cy="674914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Jameson 2</a:t>
          </a:r>
        </a:p>
      </xdr:txBody>
    </xdr:sp>
    <xdr:clientData/>
  </xdr:twoCellAnchor>
  <xdr:twoCellAnchor>
    <xdr:from>
      <xdr:col>6</xdr:col>
      <xdr:colOff>180000</xdr:colOff>
      <xdr:row>23</xdr:row>
      <xdr:rowOff>23133</xdr:rowOff>
    </xdr:from>
    <xdr:to>
      <xdr:col>8</xdr:col>
      <xdr:colOff>747485</xdr:colOff>
      <xdr:row>37</xdr:row>
      <xdr:rowOff>1</xdr:rowOff>
    </xdr:to>
    <xdr:cxnSp macro="">
      <xdr:nvCxnSpPr>
        <xdr:cNvPr id="25" name="Conector: angular 24">
          <a:extLst>
            <a:ext uri="{FF2B5EF4-FFF2-40B4-BE49-F238E27FC236}">
              <a16:creationId xmlns:a16="http://schemas.microsoft.com/office/drawing/2014/main" id="{79023EC7-09CB-403C-BFDB-9BA4441090AE}"/>
            </a:ext>
          </a:extLst>
        </xdr:cNvPr>
        <xdr:cNvCxnSpPr>
          <a:cxnSpLocks/>
          <a:stCxn id="23" idx="2"/>
          <a:endCxn id="65" idx="0"/>
        </xdr:cNvCxnSpPr>
      </xdr:nvCxnSpPr>
      <xdr:spPr>
        <a:xfrm rot="5400000">
          <a:off x="4630023" y="4408681"/>
          <a:ext cx="2516868" cy="2091485"/>
        </a:xfrm>
        <a:prstGeom prst="bentConnector3">
          <a:avLst>
            <a:gd name="adj1" fmla="val 61534"/>
          </a:avLst>
        </a:prstGeom>
        <a:ln w="1905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737960</xdr:colOff>
      <xdr:row>11</xdr:row>
      <xdr:rowOff>131400</xdr:rowOff>
    </xdr:from>
    <xdr:to>
      <xdr:col>11</xdr:col>
      <xdr:colOff>214472</xdr:colOff>
      <xdr:row>21</xdr:row>
      <xdr:rowOff>48532</xdr:rowOff>
    </xdr:to>
    <xdr:cxnSp macro="">
      <xdr:nvCxnSpPr>
        <xdr:cNvPr id="29" name="Conector: angular 28">
          <a:extLst>
            <a:ext uri="{FF2B5EF4-FFF2-40B4-BE49-F238E27FC236}">
              <a16:creationId xmlns:a16="http://schemas.microsoft.com/office/drawing/2014/main" id="{F7404DBE-AF7A-4DF3-BE5F-9E92973E06C3}"/>
            </a:ext>
          </a:extLst>
        </xdr:cNvPr>
        <xdr:cNvCxnSpPr>
          <a:stCxn id="23" idx="3"/>
          <a:endCxn id="51" idx="4"/>
        </xdr:cNvCxnSpPr>
      </xdr:nvCxnSpPr>
      <xdr:spPr>
        <a:xfrm flipV="1">
          <a:off x="7686674" y="2127114"/>
          <a:ext cx="1000512" cy="1731418"/>
        </a:xfrm>
        <a:prstGeom prst="bentConnector2">
          <a:avLst/>
        </a:prstGeom>
        <a:ln w="1905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562429</xdr:colOff>
      <xdr:row>9</xdr:row>
      <xdr:rowOff>72571</xdr:rowOff>
    </xdr:from>
    <xdr:to>
      <xdr:col>6</xdr:col>
      <xdr:colOff>160429</xdr:colOff>
      <xdr:row>11</xdr:row>
      <xdr:rowOff>69714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8CC7CFC5-9356-1A1D-C1C7-EBE0DDA4BD9D}"/>
            </a:ext>
          </a:extLst>
        </xdr:cNvPr>
        <xdr:cNvSpPr/>
      </xdr:nvSpPr>
      <xdr:spPr>
        <a:xfrm>
          <a:off x="4463143" y="1705428"/>
          <a:ext cx="360000" cy="360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34472</xdr:colOff>
      <xdr:row>9</xdr:row>
      <xdr:rowOff>134257</xdr:rowOff>
    </xdr:from>
    <xdr:to>
      <xdr:col>11</xdr:col>
      <xdr:colOff>394472</xdr:colOff>
      <xdr:row>11</xdr:row>
      <xdr:rowOff>131400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0A20E386-A6E9-4F68-A8C5-85A924BF4833}"/>
            </a:ext>
          </a:extLst>
        </xdr:cNvPr>
        <xdr:cNvSpPr/>
      </xdr:nvSpPr>
      <xdr:spPr>
        <a:xfrm>
          <a:off x="8507186" y="1767114"/>
          <a:ext cx="360000" cy="360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394472</xdr:colOff>
      <xdr:row>10</xdr:row>
      <xdr:rowOff>119343</xdr:rowOff>
    </xdr:from>
    <xdr:to>
      <xdr:col>12</xdr:col>
      <xdr:colOff>218141</xdr:colOff>
      <xdr:row>10</xdr:row>
      <xdr:rowOff>132828</xdr:rowOff>
    </xdr:to>
    <xdr:cxnSp macro="">
      <xdr:nvCxnSpPr>
        <xdr:cNvPr id="56" name="Conector: angular 55">
          <a:extLst>
            <a:ext uri="{FF2B5EF4-FFF2-40B4-BE49-F238E27FC236}">
              <a16:creationId xmlns:a16="http://schemas.microsoft.com/office/drawing/2014/main" id="{746E0F23-25D3-490F-B2B2-81815B5ACBE8}"/>
            </a:ext>
          </a:extLst>
        </xdr:cNvPr>
        <xdr:cNvCxnSpPr>
          <a:stCxn id="51" idx="6"/>
          <a:endCxn id="4" idx="1"/>
        </xdr:cNvCxnSpPr>
      </xdr:nvCxnSpPr>
      <xdr:spPr>
        <a:xfrm flipV="1">
          <a:off x="8867186" y="1933629"/>
          <a:ext cx="585669" cy="13485"/>
        </a:xfrm>
        <a:prstGeom prst="bentConnector3">
          <a:avLst>
            <a:gd name="adj1" fmla="val 50000"/>
          </a:avLst>
        </a:prstGeom>
        <a:ln w="19050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586014</xdr:colOff>
      <xdr:row>9</xdr:row>
      <xdr:rowOff>123371</xdr:rowOff>
    </xdr:from>
    <xdr:to>
      <xdr:col>17</xdr:col>
      <xdr:colOff>184014</xdr:colOff>
      <xdr:row>11</xdr:row>
      <xdr:rowOff>120514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F68DCB24-3EB1-4502-B05B-5691A8487F6C}"/>
            </a:ext>
          </a:extLst>
        </xdr:cNvPr>
        <xdr:cNvSpPr/>
      </xdr:nvSpPr>
      <xdr:spPr>
        <a:xfrm>
          <a:off x="12868728" y="1756228"/>
          <a:ext cx="360000" cy="360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0</xdr:colOff>
      <xdr:row>37</xdr:row>
      <xdr:rowOff>0</xdr:rowOff>
    </xdr:from>
    <xdr:to>
      <xdr:col>6</xdr:col>
      <xdr:colOff>360000</xdr:colOff>
      <xdr:row>38</xdr:row>
      <xdr:rowOff>178572</xdr:rowOff>
    </xdr:to>
    <xdr:sp macro="" textlink="">
      <xdr:nvSpPr>
        <xdr:cNvPr id="65" name="Elipse 64">
          <a:extLst>
            <a:ext uri="{FF2B5EF4-FFF2-40B4-BE49-F238E27FC236}">
              <a16:creationId xmlns:a16="http://schemas.microsoft.com/office/drawing/2014/main" id="{4C8ED9CA-67C5-4732-AD75-6F4DC7CE4D71}"/>
            </a:ext>
          </a:extLst>
        </xdr:cNvPr>
        <xdr:cNvSpPr/>
      </xdr:nvSpPr>
      <xdr:spPr>
        <a:xfrm>
          <a:off x="13806714" y="2177143"/>
          <a:ext cx="360000" cy="360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8</xdr:row>
      <xdr:rowOff>44451</xdr:rowOff>
    </xdr:from>
    <xdr:to>
      <xdr:col>3</xdr:col>
      <xdr:colOff>685800</xdr:colOff>
      <xdr:row>11</xdr:row>
      <xdr:rowOff>171451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DC1E762-53EC-43C6-9F1F-C81312455837}"/>
            </a:ext>
          </a:extLst>
        </xdr:cNvPr>
        <xdr:cNvSpPr/>
      </xdr:nvSpPr>
      <xdr:spPr>
        <a:xfrm>
          <a:off x="1466850" y="1517651"/>
          <a:ext cx="1504950" cy="679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1ra</a:t>
          </a:r>
          <a:r>
            <a:rPr lang="es-CL" sz="1600" b="1" baseline="0">
              <a:solidFill>
                <a:schemeClr val="tx1"/>
              </a:solidFill>
            </a:rPr>
            <a:t> Limp. Ro.</a:t>
          </a:r>
          <a:endParaRPr lang="es-CL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758825</xdr:colOff>
      <xdr:row>8</xdr:row>
      <xdr:rowOff>142876</xdr:rowOff>
    </xdr:from>
    <xdr:to>
      <xdr:col>9</xdr:col>
      <xdr:colOff>739775</xdr:colOff>
      <xdr:row>12</xdr:row>
      <xdr:rowOff>92076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224A442-F264-4C6D-A73E-9102B7073A49}"/>
            </a:ext>
          </a:extLst>
        </xdr:cNvPr>
        <xdr:cNvSpPr/>
      </xdr:nvSpPr>
      <xdr:spPr>
        <a:xfrm>
          <a:off x="6181725" y="1616076"/>
          <a:ext cx="1504950" cy="6858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Jameson 1</a:t>
          </a:r>
        </a:p>
      </xdr:txBody>
    </xdr:sp>
    <xdr:clientData/>
  </xdr:twoCellAnchor>
  <xdr:twoCellAnchor>
    <xdr:from>
      <xdr:col>12</xdr:col>
      <xdr:colOff>218141</xdr:colOff>
      <xdr:row>8</xdr:row>
      <xdr:rowOff>151093</xdr:rowOff>
    </xdr:from>
    <xdr:to>
      <xdr:col>14</xdr:col>
      <xdr:colOff>199091</xdr:colOff>
      <xdr:row>12</xdr:row>
      <xdr:rowOff>87593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E9FAA1B-48A9-45DC-AE4E-D8103E795612}"/>
            </a:ext>
          </a:extLst>
        </xdr:cNvPr>
        <xdr:cNvSpPr/>
      </xdr:nvSpPr>
      <xdr:spPr>
        <a:xfrm>
          <a:off x="9451041" y="1624293"/>
          <a:ext cx="1504950" cy="6731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Scavenger</a:t>
          </a:r>
        </a:p>
      </xdr:txBody>
    </xdr:sp>
    <xdr:clientData/>
  </xdr:twoCellAnchor>
  <xdr:twoCellAnchor>
    <xdr:from>
      <xdr:col>12</xdr:col>
      <xdr:colOff>220406</xdr:colOff>
      <xdr:row>27</xdr:row>
      <xdr:rowOff>137388</xdr:rowOff>
    </xdr:from>
    <xdr:to>
      <xdr:col>14</xdr:col>
      <xdr:colOff>201356</xdr:colOff>
      <xdr:row>31</xdr:row>
      <xdr:rowOff>89763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E612CEA-ADF1-4A72-B17B-885438F66E87}"/>
            </a:ext>
          </a:extLst>
        </xdr:cNvPr>
        <xdr:cNvSpPr/>
      </xdr:nvSpPr>
      <xdr:spPr>
        <a:xfrm>
          <a:off x="9453306" y="5109438"/>
          <a:ext cx="1504950" cy="688975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1ra</a:t>
          </a:r>
          <a:r>
            <a:rPr lang="es-CL" sz="1600" b="1" baseline="0">
              <a:solidFill>
                <a:schemeClr val="tx1"/>
              </a:solidFill>
            </a:rPr>
            <a:t> Limp. Scv.</a:t>
          </a:r>
          <a:endParaRPr lang="es-CL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160429</xdr:colOff>
      <xdr:row>10</xdr:row>
      <xdr:rowOff>71142</xdr:rowOff>
    </xdr:from>
    <xdr:to>
      <xdr:col>7</xdr:col>
      <xdr:colOff>758825</xdr:colOff>
      <xdr:row>10</xdr:row>
      <xdr:rowOff>117476</xdr:rowOff>
    </xdr:to>
    <xdr:cxnSp macro="">
      <xdr:nvCxnSpPr>
        <xdr:cNvPr id="6" name="Conector: angular 5">
          <a:extLst>
            <a:ext uri="{FF2B5EF4-FFF2-40B4-BE49-F238E27FC236}">
              <a16:creationId xmlns:a16="http://schemas.microsoft.com/office/drawing/2014/main" id="{E5B57CEC-1962-49FA-81FA-5650754F8C19}"/>
            </a:ext>
          </a:extLst>
        </xdr:cNvPr>
        <xdr:cNvCxnSpPr>
          <a:cxnSpLocks/>
          <a:stCxn id="19" idx="6"/>
          <a:endCxn id="3" idx="1"/>
        </xdr:cNvCxnSpPr>
      </xdr:nvCxnSpPr>
      <xdr:spPr>
        <a:xfrm>
          <a:off x="4821329" y="1912642"/>
          <a:ext cx="1360396" cy="4633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10</xdr:row>
      <xdr:rowOff>17237</xdr:rowOff>
    </xdr:from>
    <xdr:to>
      <xdr:col>5</xdr:col>
      <xdr:colOff>562429</xdr:colOff>
      <xdr:row>10</xdr:row>
      <xdr:rowOff>71142</xdr:rowOff>
    </xdr:to>
    <xdr:cxnSp macro="">
      <xdr:nvCxnSpPr>
        <xdr:cNvPr id="7" name="Conector: angular 6">
          <a:extLst>
            <a:ext uri="{FF2B5EF4-FFF2-40B4-BE49-F238E27FC236}">
              <a16:creationId xmlns:a16="http://schemas.microsoft.com/office/drawing/2014/main" id="{5F92CDC3-3C42-45DF-939F-EE04140CD0D3}"/>
            </a:ext>
          </a:extLst>
        </xdr:cNvPr>
        <xdr:cNvCxnSpPr>
          <a:cxnSpLocks/>
          <a:stCxn id="2" idx="3"/>
          <a:endCxn id="19" idx="2"/>
        </xdr:cNvCxnSpPr>
      </xdr:nvCxnSpPr>
      <xdr:spPr>
        <a:xfrm>
          <a:off x="2971800" y="1858737"/>
          <a:ext cx="1489529" cy="53905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739775</xdr:colOff>
      <xdr:row>10</xdr:row>
      <xdr:rowOff>117476</xdr:rowOff>
    </xdr:from>
    <xdr:to>
      <xdr:col>11</xdr:col>
      <xdr:colOff>34472</xdr:colOff>
      <xdr:row>10</xdr:row>
      <xdr:rowOff>132828</xdr:rowOff>
    </xdr:to>
    <xdr:cxnSp macro="">
      <xdr:nvCxnSpPr>
        <xdr:cNvPr id="8" name="Conector: angular 7">
          <a:extLst>
            <a:ext uri="{FF2B5EF4-FFF2-40B4-BE49-F238E27FC236}">
              <a16:creationId xmlns:a16="http://schemas.microsoft.com/office/drawing/2014/main" id="{471EC688-CD7C-46E0-B006-662F95928545}"/>
            </a:ext>
          </a:extLst>
        </xdr:cNvPr>
        <xdr:cNvCxnSpPr>
          <a:stCxn id="3" idx="3"/>
          <a:endCxn id="20" idx="2"/>
        </xdr:cNvCxnSpPr>
      </xdr:nvCxnSpPr>
      <xdr:spPr>
        <a:xfrm>
          <a:off x="7686675" y="1958976"/>
          <a:ext cx="818697" cy="15352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208616</xdr:colOff>
      <xdr:row>12</xdr:row>
      <xdr:rowOff>87592</xdr:rowOff>
    </xdr:from>
    <xdr:to>
      <xdr:col>13</xdr:col>
      <xdr:colOff>210881</xdr:colOff>
      <xdr:row>27</xdr:row>
      <xdr:rowOff>137387</xdr:rowOff>
    </xdr:to>
    <xdr:cxnSp macro="">
      <xdr:nvCxnSpPr>
        <xdr:cNvPr id="9" name="Conector: angular 8">
          <a:extLst>
            <a:ext uri="{FF2B5EF4-FFF2-40B4-BE49-F238E27FC236}">
              <a16:creationId xmlns:a16="http://schemas.microsoft.com/office/drawing/2014/main" id="{2E510843-E46D-44A9-99FF-F93B11C382A7}"/>
            </a:ext>
          </a:extLst>
        </xdr:cNvPr>
        <xdr:cNvCxnSpPr>
          <a:cxnSpLocks/>
          <a:stCxn id="4" idx="2"/>
          <a:endCxn id="5" idx="0"/>
        </xdr:cNvCxnSpPr>
      </xdr:nvCxnSpPr>
      <xdr:spPr>
        <a:xfrm rot="16200000" flipH="1">
          <a:off x="8798626" y="3702282"/>
          <a:ext cx="2812045" cy="226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742430</xdr:colOff>
      <xdr:row>11</xdr:row>
      <xdr:rowOff>69714</xdr:rowOff>
    </xdr:from>
    <xdr:to>
      <xdr:col>12</xdr:col>
      <xdr:colOff>220407</xdr:colOff>
      <xdr:row>29</xdr:row>
      <xdr:rowOff>113575</xdr:rowOff>
    </xdr:to>
    <xdr:cxnSp macro="">
      <xdr:nvCxnSpPr>
        <xdr:cNvPr id="10" name="Conector: angular 9">
          <a:extLst>
            <a:ext uri="{FF2B5EF4-FFF2-40B4-BE49-F238E27FC236}">
              <a16:creationId xmlns:a16="http://schemas.microsoft.com/office/drawing/2014/main" id="{60414EE7-8CB3-496B-A66F-4C441E217E32}"/>
            </a:ext>
          </a:extLst>
        </xdr:cNvPr>
        <xdr:cNvCxnSpPr>
          <a:cxnSpLocks/>
          <a:stCxn id="5" idx="1"/>
          <a:endCxn id="19" idx="4"/>
        </xdr:cNvCxnSpPr>
      </xdr:nvCxnSpPr>
      <xdr:spPr>
        <a:xfrm rot="10800000">
          <a:off x="4641330" y="2095364"/>
          <a:ext cx="4811977" cy="3358561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167153</xdr:colOff>
      <xdr:row>15</xdr:row>
      <xdr:rowOff>174610</xdr:rowOff>
    </xdr:from>
    <xdr:to>
      <xdr:col>13</xdr:col>
      <xdr:colOff>210881</xdr:colOff>
      <xdr:row>31</xdr:row>
      <xdr:rowOff>89763</xdr:rowOff>
    </xdr:to>
    <xdr:cxnSp macro="">
      <xdr:nvCxnSpPr>
        <xdr:cNvPr id="11" name="Conector: angular 10">
          <a:extLst>
            <a:ext uri="{FF2B5EF4-FFF2-40B4-BE49-F238E27FC236}">
              <a16:creationId xmlns:a16="http://schemas.microsoft.com/office/drawing/2014/main" id="{99E3769D-099F-474D-B48F-A905E77D4D49}"/>
            </a:ext>
          </a:extLst>
        </xdr:cNvPr>
        <xdr:cNvCxnSpPr>
          <a:cxnSpLocks/>
          <a:stCxn id="5" idx="2"/>
          <a:endCxn id="25" idx="6"/>
        </xdr:cNvCxnSpPr>
      </xdr:nvCxnSpPr>
      <xdr:spPr>
        <a:xfrm rot="5400000" flipH="1">
          <a:off x="7208970" y="2881911"/>
          <a:ext cx="2903388" cy="3091728"/>
        </a:xfrm>
        <a:prstGeom prst="bentConnector4">
          <a:avLst>
            <a:gd name="adj1" fmla="val -7874"/>
            <a:gd name="adj2" fmla="val 62169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695325</xdr:colOff>
      <xdr:row>11</xdr:row>
      <xdr:rowOff>171450</xdr:rowOff>
    </xdr:from>
    <xdr:to>
      <xdr:col>6</xdr:col>
      <xdr:colOff>0</xdr:colOff>
      <xdr:row>37</xdr:row>
      <xdr:rowOff>180000</xdr:rowOff>
    </xdr:to>
    <xdr:cxnSp macro="">
      <xdr:nvCxnSpPr>
        <xdr:cNvPr id="12" name="Conector: angular 11">
          <a:extLst>
            <a:ext uri="{FF2B5EF4-FFF2-40B4-BE49-F238E27FC236}">
              <a16:creationId xmlns:a16="http://schemas.microsoft.com/office/drawing/2014/main" id="{9A368F30-A34F-45A7-831C-917D5FF15C29}"/>
            </a:ext>
          </a:extLst>
        </xdr:cNvPr>
        <xdr:cNvCxnSpPr>
          <a:cxnSpLocks/>
          <a:stCxn id="2" idx="2"/>
          <a:endCxn id="23" idx="2"/>
        </xdr:cNvCxnSpPr>
      </xdr:nvCxnSpPr>
      <xdr:spPr>
        <a:xfrm rot="16200000" flipH="1">
          <a:off x="1041888" y="3374537"/>
          <a:ext cx="4796450" cy="2441575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199091</xdr:colOff>
      <xdr:row>10</xdr:row>
      <xdr:rowOff>119343</xdr:rowOff>
    </xdr:from>
    <xdr:to>
      <xdr:col>16</xdr:col>
      <xdr:colOff>586014</xdr:colOff>
      <xdr:row>10</xdr:row>
      <xdr:rowOff>121942</xdr:rowOff>
    </xdr:to>
    <xdr:cxnSp macro="">
      <xdr:nvCxnSpPr>
        <xdr:cNvPr id="13" name="Conector: angular 12">
          <a:extLst>
            <a:ext uri="{FF2B5EF4-FFF2-40B4-BE49-F238E27FC236}">
              <a16:creationId xmlns:a16="http://schemas.microsoft.com/office/drawing/2014/main" id="{EF397E6E-3595-4B2D-ABCF-AAFE96BCEEC0}"/>
            </a:ext>
          </a:extLst>
        </xdr:cNvPr>
        <xdr:cNvCxnSpPr>
          <a:cxnSpLocks/>
          <a:stCxn id="4" idx="3"/>
          <a:endCxn id="22" idx="2"/>
        </xdr:cNvCxnSpPr>
      </xdr:nvCxnSpPr>
      <xdr:spPr>
        <a:xfrm>
          <a:off x="10955991" y="1960843"/>
          <a:ext cx="1910923" cy="2599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677241</xdr:colOff>
      <xdr:row>2</xdr:row>
      <xdr:rowOff>29953</xdr:rowOff>
    </xdr:from>
    <xdr:to>
      <xdr:col>2</xdr:col>
      <xdr:colOff>692150</xdr:colOff>
      <xdr:row>8</xdr:row>
      <xdr:rowOff>44450</xdr:rowOff>
    </xdr:to>
    <xdr:cxnSp macro="">
      <xdr:nvCxnSpPr>
        <xdr:cNvPr id="14" name="Conector: angular 13" descr="1&#10;">
          <a:extLst>
            <a:ext uri="{FF2B5EF4-FFF2-40B4-BE49-F238E27FC236}">
              <a16:creationId xmlns:a16="http://schemas.microsoft.com/office/drawing/2014/main" id="{4A0A7E6E-659A-48B3-8BD2-97DA6E6FE993}"/>
            </a:ext>
          </a:extLst>
        </xdr:cNvPr>
        <xdr:cNvCxnSpPr>
          <a:endCxn id="2" idx="0"/>
        </xdr:cNvCxnSpPr>
      </xdr:nvCxnSpPr>
      <xdr:spPr>
        <a:xfrm rot="16200000" flipH="1">
          <a:off x="1648997" y="950497"/>
          <a:ext cx="1119397" cy="14909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749153</xdr:colOff>
      <xdr:row>12</xdr:row>
      <xdr:rowOff>92077</xdr:rowOff>
    </xdr:from>
    <xdr:to>
      <xdr:col>8</xdr:col>
      <xdr:colOff>749300</xdr:colOff>
      <xdr:row>14</xdr:row>
      <xdr:rowOff>176039</xdr:rowOff>
    </xdr:to>
    <xdr:cxnSp macro="">
      <xdr:nvCxnSpPr>
        <xdr:cNvPr id="15" name="Conector: angular 14">
          <a:extLst>
            <a:ext uri="{FF2B5EF4-FFF2-40B4-BE49-F238E27FC236}">
              <a16:creationId xmlns:a16="http://schemas.microsoft.com/office/drawing/2014/main" id="{73203A55-DA81-4A8F-88D6-35D8171A7466}"/>
            </a:ext>
          </a:extLst>
        </xdr:cNvPr>
        <xdr:cNvCxnSpPr>
          <a:cxnSpLocks/>
          <a:stCxn id="3" idx="2"/>
          <a:endCxn id="25" idx="0"/>
        </xdr:cNvCxnSpPr>
      </xdr:nvCxnSpPr>
      <xdr:spPr>
        <a:xfrm rot="5400000">
          <a:off x="6706128" y="2561925"/>
          <a:ext cx="457492" cy="147"/>
        </a:xfrm>
        <a:prstGeom prst="bentConnector3">
          <a:avLst>
            <a:gd name="adj1" fmla="val 50000"/>
          </a:avLst>
        </a:prstGeom>
        <a:ln w="1905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757010</xdr:colOff>
      <xdr:row>19</xdr:row>
      <xdr:rowOff>73932</xdr:rowOff>
    </xdr:from>
    <xdr:to>
      <xdr:col>9</xdr:col>
      <xdr:colOff>737960</xdr:colOff>
      <xdr:row>23</xdr:row>
      <xdr:rowOff>23132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A2051F89-A2DB-45AC-9DF3-D2616F75B035}"/>
            </a:ext>
          </a:extLst>
        </xdr:cNvPr>
        <xdr:cNvSpPr/>
      </xdr:nvSpPr>
      <xdr:spPr>
        <a:xfrm>
          <a:off x="6179910" y="3572782"/>
          <a:ext cx="1504950" cy="6858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Jameson 2</a:t>
          </a:r>
        </a:p>
      </xdr:txBody>
    </xdr:sp>
    <xdr:clientData/>
  </xdr:twoCellAnchor>
  <xdr:twoCellAnchor>
    <xdr:from>
      <xdr:col>6</xdr:col>
      <xdr:colOff>180000</xdr:colOff>
      <xdr:row>23</xdr:row>
      <xdr:rowOff>23133</xdr:rowOff>
    </xdr:from>
    <xdr:to>
      <xdr:col>8</xdr:col>
      <xdr:colOff>747485</xdr:colOff>
      <xdr:row>37</xdr:row>
      <xdr:rowOff>1</xdr:rowOff>
    </xdr:to>
    <xdr:cxnSp macro="">
      <xdr:nvCxnSpPr>
        <xdr:cNvPr id="17" name="Conector: angular 16">
          <a:extLst>
            <a:ext uri="{FF2B5EF4-FFF2-40B4-BE49-F238E27FC236}">
              <a16:creationId xmlns:a16="http://schemas.microsoft.com/office/drawing/2014/main" id="{79E32B5A-1DF2-4E94-B606-7358F30A0A69}"/>
            </a:ext>
          </a:extLst>
        </xdr:cNvPr>
        <xdr:cNvCxnSpPr>
          <a:cxnSpLocks/>
          <a:stCxn id="16" idx="2"/>
          <a:endCxn id="23" idx="0"/>
        </xdr:cNvCxnSpPr>
      </xdr:nvCxnSpPr>
      <xdr:spPr>
        <a:xfrm rot="5400000">
          <a:off x="4609159" y="4490324"/>
          <a:ext cx="2554968" cy="2091485"/>
        </a:xfrm>
        <a:prstGeom prst="bentConnector3">
          <a:avLst>
            <a:gd name="adj1" fmla="val 61534"/>
          </a:avLst>
        </a:prstGeom>
        <a:ln w="1905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737960</xdr:colOff>
      <xdr:row>11</xdr:row>
      <xdr:rowOff>131400</xdr:rowOff>
    </xdr:from>
    <xdr:to>
      <xdr:col>11</xdr:col>
      <xdr:colOff>214472</xdr:colOff>
      <xdr:row>21</xdr:row>
      <xdr:rowOff>48532</xdr:rowOff>
    </xdr:to>
    <xdr:cxnSp macro="">
      <xdr:nvCxnSpPr>
        <xdr:cNvPr id="18" name="Conector: angular 17">
          <a:extLst>
            <a:ext uri="{FF2B5EF4-FFF2-40B4-BE49-F238E27FC236}">
              <a16:creationId xmlns:a16="http://schemas.microsoft.com/office/drawing/2014/main" id="{329D9D88-1FC7-4788-85E9-1C4E6D98AB11}"/>
            </a:ext>
          </a:extLst>
        </xdr:cNvPr>
        <xdr:cNvCxnSpPr>
          <a:stCxn id="16" idx="3"/>
          <a:endCxn id="20" idx="4"/>
        </xdr:cNvCxnSpPr>
      </xdr:nvCxnSpPr>
      <xdr:spPr>
        <a:xfrm flipV="1">
          <a:off x="7684860" y="2157050"/>
          <a:ext cx="1000512" cy="1758632"/>
        </a:xfrm>
        <a:prstGeom prst="bentConnector2">
          <a:avLst/>
        </a:prstGeom>
        <a:ln w="1905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562429</xdr:colOff>
      <xdr:row>9</xdr:row>
      <xdr:rowOff>72571</xdr:rowOff>
    </xdr:from>
    <xdr:to>
      <xdr:col>6</xdr:col>
      <xdr:colOff>160429</xdr:colOff>
      <xdr:row>11</xdr:row>
      <xdr:rowOff>69714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D4721C08-7BF9-4694-A23E-712DCA09561F}"/>
            </a:ext>
          </a:extLst>
        </xdr:cNvPr>
        <xdr:cNvSpPr/>
      </xdr:nvSpPr>
      <xdr:spPr>
        <a:xfrm>
          <a:off x="4461329" y="1729921"/>
          <a:ext cx="360000" cy="365443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34472</xdr:colOff>
      <xdr:row>9</xdr:row>
      <xdr:rowOff>134257</xdr:rowOff>
    </xdr:from>
    <xdr:to>
      <xdr:col>11</xdr:col>
      <xdr:colOff>394472</xdr:colOff>
      <xdr:row>11</xdr:row>
      <xdr:rowOff>131400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43F142AF-1B38-46E5-A3B2-3571B364CB52}"/>
            </a:ext>
          </a:extLst>
        </xdr:cNvPr>
        <xdr:cNvSpPr/>
      </xdr:nvSpPr>
      <xdr:spPr>
        <a:xfrm>
          <a:off x="8505372" y="1791607"/>
          <a:ext cx="360000" cy="365443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394472</xdr:colOff>
      <xdr:row>10</xdr:row>
      <xdr:rowOff>119343</xdr:rowOff>
    </xdr:from>
    <xdr:to>
      <xdr:col>12</xdr:col>
      <xdr:colOff>218141</xdr:colOff>
      <xdr:row>10</xdr:row>
      <xdr:rowOff>132828</xdr:rowOff>
    </xdr:to>
    <xdr:cxnSp macro="">
      <xdr:nvCxnSpPr>
        <xdr:cNvPr id="21" name="Conector: angular 20">
          <a:extLst>
            <a:ext uri="{FF2B5EF4-FFF2-40B4-BE49-F238E27FC236}">
              <a16:creationId xmlns:a16="http://schemas.microsoft.com/office/drawing/2014/main" id="{35571B01-417B-468E-AFFA-FBE67F7F19A2}"/>
            </a:ext>
          </a:extLst>
        </xdr:cNvPr>
        <xdr:cNvCxnSpPr>
          <a:stCxn id="20" idx="6"/>
          <a:endCxn id="4" idx="1"/>
        </xdr:cNvCxnSpPr>
      </xdr:nvCxnSpPr>
      <xdr:spPr>
        <a:xfrm flipV="1">
          <a:off x="8865372" y="1960843"/>
          <a:ext cx="585669" cy="13485"/>
        </a:xfrm>
        <a:prstGeom prst="bentConnector3">
          <a:avLst>
            <a:gd name="adj1" fmla="val 50000"/>
          </a:avLst>
        </a:prstGeom>
        <a:ln w="19050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586014</xdr:colOff>
      <xdr:row>9</xdr:row>
      <xdr:rowOff>123371</xdr:rowOff>
    </xdr:from>
    <xdr:to>
      <xdr:col>17</xdr:col>
      <xdr:colOff>184014</xdr:colOff>
      <xdr:row>11</xdr:row>
      <xdr:rowOff>120514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DEF5CB6E-DB1A-42ED-8FD1-0F0CB3BC501F}"/>
            </a:ext>
          </a:extLst>
        </xdr:cNvPr>
        <xdr:cNvSpPr/>
      </xdr:nvSpPr>
      <xdr:spPr>
        <a:xfrm>
          <a:off x="12866914" y="1780721"/>
          <a:ext cx="360000" cy="365443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0</xdr:colOff>
      <xdr:row>37</xdr:row>
      <xdr:rowOff>0</xdr:rowOff>
    </xdr:from>
    <xdr:to>
      <xdr:col>6</xdr:col>
      <xdr:colOff>360000</xdr:colOff>
      <xdr:row>38</xdr:row>
      <xdr:rowOff>178572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C10E5A1-FD51-4C1A-A450-35BAAAFA5612}"/>
            </a:ext>
          </a:extLst>
        </xdr:cNvPr>
        <xdr:cNvSpPr/>
      </xdr:nvSpPr>
      <xdr:spPr>
        <a:xfrm>
          <a:off x="4660900" y="6813550"/>
          <a:ext cx="360000" cy="362722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569153</xdr:colOff>
      <xdr:row>14</xdr:row>
      <xdr:rowOff>176038</xdr:rowOff>
    </xdr:from>
    <xdr:to>
      <xdr:col>9</xdr:col>
      <xdr:colOff>167153</xdr:colOff>
      <xdr:row>16</xdr:row>
      <xdr:rowOff>173182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89FFEB1C-4544-4186-8AFA-087193D0CAF6}"/>
            </a:ext>
          </a:extLst>
        </xdr:cNvPr>
        <xdr:cNvSpPr/>
      </xdr:nvSpPr>
      <xdr:spPr>
        <a:xfrm>
          <a:off x="6754800" y="2790744"/>
          <a:ext cx="360000" cy="370673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747485</xdr:colOff>
      <xdr:row>16</xdr:row>
      <xdr:rowOff>173182</xdr:rowOff>
    </xdr:from>
    <xdr:to>
      <xdr:col>8</xdr:col>
      <xdr:colOff>749153</xdr:colOff>
      <xdr:row>19</xdr:row>
      <xdr:rowOff>73932</xdr:rowOff>
    </xdr:to>
    <xdr:cxnSp macro="">
      <xdr:nvCxnSpPr>
        <xdr:cNvPr id="29" name="Conector: angular 28">
          <a:extLst>
            <a:ext uri="{FF2B5EF4-FFF2-40B4-BE49-F238E27FC236}">
              <a16:creationId xmlns:a16="http://schemas.microsoft.com/office/drawing/2014/main" id="{47EC58BA-7E92-46B5-B999-E59546B2B1EF}"/>
            </a:ext>
          </a:extLst>
        </xdr:cNvPr>
        <xdr:cNvCxnSpPr>
          <a:cxnSpLocks/>
          <a:stCxn id="25" idx="4"/>
          <a:endCxn id="16" idx="0"/>
        </xdr:cNvCxnSpPr>
      </xdr:nvCxnSpPr>
      <xdr:spPr>
        <a:xfrm rot="5400000">
          <a:off x="6703444" y="3391105"/>
          <a:ext cx="461044" cy="1668"/>
        </a:xfrm>
        <a:prstGeom prst="bentConnector3">
          <a:avLst>
            <a:gd name="adj1" fmla="val 50000"/>
          </a:avLst>
        </a:prstGeom>
        <a:ln w="1905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8</xdr:row>
      <xdr:rowOff>44451</xdr:rowOff>
    </xdr:from>
    <xdr:to>
      <xdr:col>3</xdr:col>
      <xdr:colOff>685800</xdr:colOff>
      <xdr:row>11</xdr:row>
      <xdr:rowOff>171451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5F3B8C1-4667-4AAB-8A25-009AB4194C57}"/>
            </a:ext>
          </a:extLst>
        </xdr:cNvPr>
        <xdr:cNvSpPr/>
      </xdr:nvSpPr>
      <xdr:spPr>
        <a:xfrm>
          <a:off x="1466850" y="1517651"/>
          <a:ext cx="1504950" cy="679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1ra</a:t>
          </a:r>
          <a:r>
            <a:rPr lang="es-CL" sz="1600" b="1" baseline="0">
              <a:solidFill>
                <a:schemeClr val="tx1"/>
              </a:solidFill>
            </a:rPr>
            <a:t> Limp. Ro.</a:t>
          </a:r>
          <a:endParaRPr lang="es-CL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758825</xdr:colOff>
      <xdr:row>8</xdr:row>
      <xdr:rowOff>142876</xdr:rowOff>
    </xdr:from>
    <xdr:to>
      <xdr:col>9</xdr:col>
      <xdr:colOff>739775</xdr:colOff>
      <xdr:row>12</xdr:row>
      <xdr:rowOff>92076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6E96A17-C8AE-454D-83BC-72E01DA42D77}"/>
            </a:ext>
          </a:extLst>
        </xdr:cNvPr>
        <xdr:cNvSpPr/>
      </xdr:nvSpPr>
      <xdr:spPr>
        <a:xfrm>
          <a:off x="6092825" y="1616076"/>
          <a:ext cx="1504950" cy="6858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Jameson</a:t>
          </a:r>
        </a:p>
      </xdr:txBody>
    </xdr:sp>
    <xdr:clientData/>
  </xdr:twoCellAnchor>
  <xdr:twoCellAnchor>
    <xdr:from>
      <xdr:col>12</xdr:col>
      <xdr:colOff>218141</xdr:colOff>
      <xdr:row>8</xdr:row>
      <xdr:rowOff>151093</xdr:rowOff>
    </xdr:from>
    <xdr:to>
      <xdr:col>14</xdr:col>
      <xdr:colOff>199091</xdr:colOff>
      <xdr:row>12</xdr:row>
      <xdr:rowOff>87593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B5EB6DD-1193-4F18-BF7F-15FE86FAF1AA}"/>
            </a:ext>
          </a:extLst>
        </xdr:cNvPr>
        <xdr:cNvSpPr/>
      </xdr:nvSpPr>
      <xdr:spPr>
        <a:xfrm>
          <a:off x="9362141" y="1624293"/>
          <a:ext cx="1504950" cy="6731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Scavenger</a:t>
          </a:r>
        </a:p>
      </xdr:txBody>
    </xdr:sp>
    <xdr:clientData/>
  </xdr:twoCellAnchor>
  <xdr:twoCellAnchor>
    <xdr:from>
      <xdr:col>12</xdr:col>
      <xdr:colOff>220406</xdr:colOff>
      <xdr:row>27</xdr:row>
      <xdr:rowOff>137388</xdr:rowOff>
    </xdr:from>
    <xdr:to>
      <xdr:col>14</xdr:col>
      <xdr:colOff>201356</xdr:colOff>
      <xdr:row>31</xdr:row>
      <xdr:rowOff>89763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9DB224B-E003-4B4F-B1F3-BC96E8B25018}"/>
            </a:ext>
          </a:extLst>
        </xdr:cNvPr>
        <xdr:cNvSpPr/>
      </xdr:nvSpPr>
      <xdr:spPr>
        <a:xfrm>
          <a:off x="9364406" y="5109438"/>
          <a:ext cx="1504950" cy="688975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1ra</a:t>
          </a:r>
          <a:r>
            <a:rPr lang="es-CL" sz="1600" b="1" baseline="0">
              <a:solidFill>
                <a:schemeClr val="tx1"/>
              </a:solidFill>
            </a:rPr>
            <a:t> Limp. Scv.</a:t>
          </a:r>
          <a:endParaRPr lang="es-CL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415301</xdr:colOff>
      <xdr:row>36</xdr:row>
      <xdr:rowOff>76624</xdr:rowOff>
    </xdr:from>
    <xdr:to>
      <xdr:col>7</xdr:col>
      <xdr:colOff>396251</xdr:colOff>
      <xdr:row>40</xdr:row>
      <xdr:rowOff>11629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4A38B5D2-EB54-48A6-A602-4D7E37CB49BA}"/>
            </a:ext>
          </a:extLst>
        </xdr:cNvPr>
        <xdr:cNvSpPr/>
      </xdr:nvSpPr>
      <xdr:spPr>
        <a:xfrm>
          <a:off x="4225301" y="6706024"/>
          <a:ext cx="1504950" cy="671605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Conc. Final</a:t>
          </a:r>
        </a:p>
      </xdr:txBody>
    </xdr:sp>
    <xdr:clientData/>
  </xdr:twoCellAnchor>
  <xdr:twoCellAnchor>
    <xdr:from>
      <xdr:col>16</xdr:col>
      <xdr:colOff>560457</xdr:colOff>
      <xdr:row>1</xdr:row>
      <xdr:rowOff>116785</xdr:rowOff>
    </xdr:from>
    <xdr:to>
      <xdr:col>18</xdr:col>
      <xdr:colOff>541407</xdr:colOff>
      <xdr:row>5</xdr:row>
      <xdr:rowOff>59635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A1F9D45-C22A-42C7-9B1C-4C79AC7F6F8C}"/>
            </a:ext>
          </a:extLst>
        </xdr:cNvPr>
        <xdr:cNvSpPr/>
      </xdr:nvSpPr>
      <xdr:spPr>
        <a:xfrm>
          <a:off x="12752457" y="300935"/>
          <a:ext cx="1504950" cy="679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Relave Final</a:t>
          </a:r>
        </a:p>
      </xdr:txBody>
    </xdr:sp>
    <xdr:clientData/>
  </xdr:twoCellAnchor>
  <xdr:twoCellAnchor>
    <xdr:from>
      <xdr:col>5</xdr:col>
      <xdr:colOff>457200</xdr:colOff>
      <xdr:row>8</xdr:row>
      <xdr:rowOff>73025</xdr:rowOff>
    </xdr:from>
    <xdr:to>
      <xdr:col>7</xdr:col>
      <xdr:colOff>19050</xdr:colOff>
      <xdr:row>12</xdr:row>
      <xdr:rowOff>19050</xdr:rowOff>
    </xdr:to>
    <xdr:sp macro="" textlink="">
      <xdr:nvSpPr>
        <xdr:cNvPr id="8" name="Rombo 7">
          <a:extLst>
            <a:ext uri="{FF2B5EF4-FFF2-40B4-BE49-F238E27FC236}">
              <a16:creationId xmlns:a16="http://schemas.microsoft.com/office/drawing/2014/main" id="{9DE83F0D-C195-46D5-9759-BBEC1C14604B}"/>
            </a:ext>
          </a:extLst>
        </xdr:cNvPr>
        <xdr:cNvSpPr/>
      </xdr:nvSpPr>
      <xdr:spPr>
        <a:xfrm>
          <a:off x="4267200" y="1546225"/>
          <a:ext cx="1085850" cy="682625"/>
        </a:xfrm>
        <a:prstGeom prst="diamond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/>
              </a:solidFill>
            </a:rPr>
            <a:t>Mezc.</a:t>
          </a:r>
        </a:p>
      </xdr:txBody>
    </xdr:sp>
    <xdr:clientData/>
  </xdr:twoCellAnchor>
  <xdr:twoCellAnchor>
    <xdr:from>
      <xdr:col>7</xdr:col>
      <xdr:colOff>19050</xdr:colOff>
      <xdr:row>10</xdr:row>
      <xdr:rowOff>46038</xdr:rowOff>
    </xdr:from>
    <xdr:to>
      <xdr:col>7</xdr:col>
      <xdr:colOff>758825</xdr:colOff>
      <xdr:row>10</xdr:row>
      <xdr:rowOff>115889</xdr:rowOff>
    </xdr:to>
    <xdr:cxnSp macro="">
      <xdr:nvCxnSpPr>
        <xdr:cNvPr id="9" name="Conector: angular 8">
          <a:extLst>
            <a:ext uri="{FF2B5EF4-FFF2-40B4-BE49-F238E27FC236}">
              <a16:creationId xmlns:a16="http://schemas.microsoft.com/office/drawing/2014/main" id="{943EEC58-835D-4D1E-AEB7-C177ECF03149}"/>
            </a:ext>
          </a:extLst>
        </xdr:cNvPr>
        <xdr:cNvCxnSpPr>
          <a:stCxn id="8" idx="3"/>
          <a:endCxn id="3" idx="1"/>
        </xdr:cNvCxnSpPr>
      </xdr:nvCxnSpPr>
      <xdr:spPr>
        <a:xfrm>
          <a:off x="5353050" y="1887538"/>
          <a:ext cx="739775" cy="69851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10</xdr:row>
      <xdr:rowOff>18430</xdr:rowOff>
    </xdr:from>
    <xdr:to>
      <xdr:col>5</xdr:col>
      <xdr:colOff>457200</xdr:colOff>
      <xdr:row>10</xdr:row>
      <xdr:rowOff>46038</xdr:rowOff>
    </xdr:to>
    <xdr:cxnSp macro="">
      <xdr:nvCxnSpPr>
        <xdr:cNvPr id="10" name="Conector: angular 9">
          <a:extLst>
            <a:ext uri="{FF2B5EF4-FFF2-40B4-BE49-F238E27FC236}">
              <a16:creationId xmlns:a16="http://schemas.microsoft.com/office/drawing/2014/main" id="{A9068661-0F45-44ED-BE36-31E2EA7D60DA}"/>
            </a:ext>
          </a:extLst>
        </xdr:cNvPr>
        <xdr:cNvCxnSpPr>
          <a:stCxn id="2" idx="3"/>
          <a:endCxn id="8" idx="1"/>
        </xdr:cNvCxnSpPr>
      </xdr:nvCxnSpPr>
      <xdr:spPr>
        <a:xfrm>
          <a:off x="2971800" y="1859930"/>
          <a:ext cx="1295400" cy="27608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739775</xdr:colOff>
      <xdr:row>10</xdr:row>
      <xdr:rowOff>115889</xdr:rowOff>
    </xdr:from>
    <xdr:to>
      <xdr:col>12</xdr:col>
      <xdr:colOff>221316</xdr:colOff>
      <xdr:row>10</xdr:row>
      <xdr:rowOff>122518</xdr:rowOff>
    </xdr:to>
    <xdr:cxnSp macro="">
      <xdr:nvCxnSpPr>
        <xdr:cNvPr id="11" name="Conector: angular 10">
          <a:extLst>
            <a:ext uri="{FF2B5EF4-FFF2-40B4-BE49-F238E27FC236}">
              <a16:creationId xmlns:a16="http://schemas.microsoft.com/office/drawing/2014/main" id="{E6C071EC-BB24-45B8-B9EA-0AD5087A04CF}"/>
            </a:ext>
          </a:extLst>
        </xdr:cNvPr>
        <xdr:cNvCxnSpPr>
          <a:stCxn id="3" idx="3"/>
          <a:endCxn id="4" idx="1"/>
        </xdr:cNvCxnSpPr>
      </xdr:nvCxnSpPr>
      <xdr:spPr>
        <a:xfrm>
          <a:off x="7597775" y="1957389"/>
          <a:ext cx="1767541" cy="6629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207683</xdr:colOff>
      <xdr:row>12</xdr:row>
      <xdr:rowOff>84417</xdr:rowOff>
    </xdr:from>
    <xdr:to>
      <xdr:col>13</xdr:col>
      <xdr:colOff>208617</xdr:colOff>
      <xdr:row>17</xdr:row>
      <xdr:rowOff>102533</xdr:rowOff>
    </xdr:to>
    <xdr:cxnSp macro="">
      <xdr:nvCxnSpPr>
        <xdr:cNvPr id="12" name="Conector: angular 11">
          <a:extLst>
            <a:ext uri="{FF2B5EF4-FFF2-40B4-BE49-F238E27FC236}">
              <a16:creationId xmlns:a16="http://schemas.microsoft.com/office/drawing/2014/main" id="{B8216E06-C02C-4B72-BAB2-687BA1677FA1}"/>
            </a:ext>
          </a:extLst>
        </xdr:cNvPr>
        <xdr:cNvCxnSpPr>
          <a:stCxn id="4" idx="2"/>
          <a:endCxn id="21" idx="0"/>
        </xdr:cNvCxnSpPr>
      </xdr:nvCxnSpPr>
      <xdr:spPr>
        <a:xfrm rot="5400000">
          <a:off x="9644717" y="2763183"/>
          <a:ext cx="938866" cy="93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238125</xdr:colOff>
      <xdr:row>12</xdr:row>
      <xdr:rowOff>19051</xdr:rowOff>
    </xdr:from>
    <xdr:to>
      <xdr:col>12</xdr:col>
      <xdr:colOff>217231</xdr:colOff>
      <xdr:row>29</xdr:row>
      <xdr:rowOff>113577</xdr:rowOff>
    </xdr:to>
    <xdr:cxnSp macro="">
      <xdr:nvCxnSpPr>
        <xdr:cNvPr id="13" name="Conector: angular 12">
          <a:extLst>
            <a:ext uri="{FF2B5EF4-FFF2-40B4-BE49-F238E27FC236}">
              <a16:creationId xmlns:a16="http://schemas.microsoft.com/office/drawing/2014/main" id="{81B5ADF5-E618-461B-8FFB-A9F5ABB1BD0B}"/>
            </a:ext>
          </a:extLst>
        </xdr:cNvPr>
        <xdr:cNvCxnSpPr>
          <a:stCxn id="5" idx="1"/>
          <a:endCxn id="8" idx="2"/>
        </xdr:cNvCxnSpPr>
      </xdr:nvCxnSpPr>
      <xdr:spPr>
        <a:xfrm rot="10800000">
          <a:off x="4810125" y="2228851"/>
          <a:ext cx="4551106" cy="3225076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393076</xdr:colOff>
      <xdr:row>31</xdr:row>
      <xdr:rowOff>86588</xdr:rowOff>
    </xdr:from>
    <xdr:to>
      <xdr:col>13</xdr:col>
      <xdr:colOff>207706</xdr:colOff>
      <xdr:row>38</xdr:row>
      <xdr:rowOff>42540</xdr:rowOff>
    </xdr:to>
    <xdr:cxnSp macro="">
      <xdr:nvCxnSpPr>
        <xdr:cNvPr id="14" name="Conector: angular 13">
          <a:extLst>
            <a:ext uri="{FF2B5EF4-FFF2-40B4-BE49-F238E27FC236}">
              <a16:creationId xmlns:a16="http://schemas.microsoft.com/office/drawing/2014/main" id="{6767EE6E-A0A7-407C-8A8A-A858932E2662}"/>
            </a:ext>
          </a:extLst>
        </xdr:cNvPr>
        <xdr:cNvCxnSpPr>
          <a:stCxn id="5" idx="2"/>
          <a:endCxn id="6" idx="3"/>
        </xdr:cNvCxnSpPr>
      </xdr:nvCxnSpPr>
      <xdr:spPr>
        <a:xfrm rot="5400000">
          <a:off x="7297890" y="4224424"/>
          <a:ext cx="1245002" cy="438663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695324</xdr:colOff>
      <xdr:row>11</xdr:row>
      <xdr:rowOff>171451</xdr:rowOff>
    </xdr:from>
    <xdr:to>
      <xdr:col>5</xdr:col>
      <xdr:colOff>412125</xdr:colOff>
      <xdr:row>38</xdr:row>
      <xdr:rowOff>42540</xdr:rowOff>
    </xdr:to>
    <xdr:cxnSp macro="">
      <xdr:nvCxnSpPr>
        <xdr:cNvPr id="15" name="Conector: angular 14">
          <a:extLst>
            <a:ext uri="{FF2B5EF4-FFF2-40B4-BE49-F238E27FC236}">
              <a16:creationId xmlns:a16="http://schemas.microsoft.com/office/drawing/2014/main" id="{925B1160-927E-4F99-9754-8D7C6C4237FB}"/>
            </a:ext>
          </a:extLst>
        </xdr:cNvPr>
        <xdr:cNvCxnSpPr>
          <a:stCxn id="2" idx="2"/>
          <a:endCxn id="6" idx="1"/>
        </xdr:cNvCxnSpPr>
      </xdr:nvCxnSpPr>
      <xdr:spPr>
        <a:xfrm rot="16200000" flipH="1">
          <a:off x="799155" y="3617270"/>
          <a:ext cx="4843139" cy="2002801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202266</xdr:colOff>
      <xdr:row>5</xdr:row>
      <xdr:rowOff>59635</xdr:rowOff>
    </xdr:from>
    <xdr:to>
      <xdr:col>17</xdr:col>
      <xdr:colOff>554107</xdr:colOff>
      <xdr:row>10</xdr:row>
      <xdr:rowOff>122518</xdr:rowOff>
    </xdr:to>
    <xdr:cxnSp macro="">
      <xdr:nvCxnSpPr>
        <xdr:cNvPr id="16" name="Conector: angular 15">
          <a:extLst>
            <a:ext uri="{FF2B5EF4-FFF2-40B4-BE49-F238E27FC236}">
              <a16:creationId xmlns:a16="http://schemas.microsoft.com/office/drawing/2014/main" id="{8DA5CE82-A2A6-4109-8C42-599D08626CC8}"/>
            </a:ext>
          </a:extLst>
        </xdr:cNvPr>
        <xdr:cNvCxnSpPr>
          <a:stCxn id="4" idx="3"/>
          <a:endCxn id="7" idx="2"/>
        </xdr:cNvCxnSpPr>
      </xdr:nvCxnSpPr>
      <xdr:spPr>
        <a:xfrm flipV="1">
          <a:off x="10870266" y="980385"/>
          <a:ext cx="2637841" cy="983633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677241</xdr:colOff>
      <xdr:row>2</xdr:row>
      <xdr:rowOff>29953</xdr:rowOff>
    </xdr:from>
    <xdr:to>
      <xdr:col>2</xdr:col>
      <xdr:colOff>692150</xdr:colOff>
      <xdr:row>8</xdr:row>
      <xdr:rowOff>44450</xdr:rowOff>
    </xdr:to>
    <xdr:cxnSp macro="">
      <xdr:nvCxnSpPr>
        <xdr:cNvPr id="17" name="Conector: angular 16" descr="1&#10;">
          <a:extLst>
            <a:ext uri="{FF2B5EF4-FFF2-40B4-BE49-F238E27FC236}">
              <a16:creationId xmlns:a16="http://schemas.microsoft.com/office/drawing/2014/main" id="{7B66B30F-726B-4A53-857F-DA53E708FF6D}"/>
            </a:ext>
          </a:extLst>
        </xdr:cNvPr>
        <xdr:cNvCxnSpPr>
          <a:endCxn id="2" idx="0"/>
        </xdr:cNvCxnSpPr>
      </xdr:nvCxnSpPr>
      <xdr:spPr>
        <a:xfrm rot="16200000" flipH="1">
          <a:off x="1648997" y="950497"/>
          <a:ext cx="1119397" cy="14909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207683</xdr:colOff>
      <xdr:row>21</xdr:row>
      <xdr:rowOff>48558</xdr:rowOff>
    </xdr:from>
    <xdr:to>
      <xdr:col>13</xdr:col>
      <xdr:colOff>207707</xdr:colOff>
      <xdr:row>27</xdr:row>
      <xdr:rowOff>140562</xdr:rowOff>
    </xdr:to>
    <xdr:cxnSp macro="">
      <xdr:nvCxnSpPr>
        <xdr:cNvPr id="18" name="Conector: angular 17">
          <a:extLst>
            <a:ext uri="{FF2B5EF4-FFF2-40B4-BE49-F238E27FC236}">
              <a16:creationId xmlns:a16="http://schemas.microsoft.com/office/drawing/2014/main" id="{1292F2E8-0D71-4F3A-8205-5939F62D4915}"/>
            </a:ext>
          </a:extLst>
        </xdr:cNvPr>
        <xdr:cNvCxnSpPr>
          <a:stCxn id="21" idx="2"/>
          <a:endCxn id="5" idx="0"/>
        </xdr:cNvCxnSpPr>
      </xdr:nvCxnSpPr>
      <xdr:spPr>
        <a:xfrm rot="16200000" flipH="1">
          <a:off x="9515243" y="4514148"/>
          <a:ext cx="1196904" cy="2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749300</xdr:colOff>
      <xdr:row>12</xdr:row>
      <xdr:rowOff>92075</xdr:rowOff>
    </xdr:from>
    <xdr:to>
      <xdr:col>12</xdr:col>
      <xdr:colOff>426757</xdr:colOff>
      <xdr:row>19</xdr:row>
      <xdr:rowOff>77133</xdr:rowOff>
    </xdr:to>
    <xdr:cxnSp macro="">
      <xdr:nvCxnSpPr>
        <xdr:cNvPr id="19" name="Conector: angular 18">
          <a:extLst>
            <a:ext uri="{FF2B5EF4-FFF2-40B4-BE49-F238E27FC236}">
              <a16:creationId xmlns:a16="http://schemas.microsoft.com/office/drawing/2014/main" id="{95E27537-3F89-41F9-AD88-78F0D407CDB7}"/>
            </a:ext>
          </a:extLst>
        </xdr:cNvPr>
        <xdr:cNvCxnSpPr>
          <a:stCxn id="3" idx="2"/>
          <a:endCxn id="21" idx="1"/>
        </xdr:cNvCxnSpPr>
      </xdr:nvCxnSpPr>
      <xdr:spPr>
        <a:xfrm rot="16200000" flipH="1">
          <a:off x="7570975" y="1576200"/>
          <a:ext cx="1274108" cy="2725457"/>
        </a:xfrm>
        <a:prstGeom prst="bentConnector2">
          <a:avLst/>
        </a:prstGeom>
        <a:ln w="1905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190383</xdr:colOff>
      <xdr:row>2</xdr:row>
      <xdr:rowOff>54428</xdr:rowOff>
    </xdr:from>
    <xdr:to>
      <xdr:col>32</xdr:col>
      <xdr:colOff>266680</xdr:colOff>
      <xdr:row>31</xdr:row>
      <xdr:rowOff>65105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BF245AF-7DF6-421D-AB09-D7C04EA4C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59097" y="417285"/>
          <a:ext cx="9982297" cy="5272106"/>
        </a:xfrm>
        <a:prstGeom prst="rect">
          <a:avLst/>
        </a:prstGeom>
      </xdr:spPr>
    </xdr:pic>
    <xdr:clientData/>
  </xdr:twoCellAnchor>
  <xdr:twoCellAnchor>
    <xdr:from>
      <xdr:col>12</xdr:col>
      <xdr:colOff>429932</xdr:colOff>
      <xdr:row>17</xdr:row>
      <xdr:rowOff>108884</xdr:rowOff>
    </xdr:from>
    <xdr:to>
      <xdr:col>13</xdr:col>
      <xdr:colOff>753782</xdr:colOff>
      <xdr:row>21</xdr:row>
      <xdr:rowOff>51734</xdr:rowOff>
    </xdr:to>
    <xdr:sp macro="" textlink="">
      <xdr:nvSpPr>
        <xdr:cNvPr id="21" name="Rombo 20">
          <a:extLst>
            <a:ext uri="{FF2B5EF4-FFF2-40B4-BE49-F238E27FC236}">
              <a16:creationId xmlns:a16="http://schemas.microsoft.com/office/drawing/2014/main" id="{20A3389A-023D-4C19-BB80-1C0FC8BE213A}"/>
            </a:ext>
          </a:extLst>
        </xdr:cNvPr>
        <xdr:cNvSpPr/>
      </xdr:nvSpPr>
      <xdr:spPr>
        <a:xfrm>
          <a:off x="9573932" y="3239434"/>
          <a:ext cx="1085850" cy="679450"/>
        </a:xfrm>
        <a:prstGeom prst="diamond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/>
              </a:solidFill>
            </a:rPr>
            <a:t>Mezc.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8</xdr:row>
      <xdr:rowOff>44451</xdr:rowOff>
    </xdr:from>
    <xdr:to>
      <xdr:col>3</xdr:col>
      <xdr:colOff>685800</xdr:colOff>
      <xdr:row>11</xdr:row>
      <xdr:rowOff>171451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343D84E-81AF-42BC-9743-A5705792BF50}"/>
            </a:ext>
          </a:extLst>
        </xdr:cNvPr>
        <xdr:cNvSpPr/>
      </xdr:nvSpPr>
      <xdr:spPr>
        <a:xfrm>
          <a:off x="1466850" y="1517651"/>
          <a:ext cx="1504950" cy="679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1ra</a:t>
          </a:r>
          <a:r>
            <a:rPr lang="es-CL" sz="1600" b="1" baseline="0">
              <a:solidFill>
                <a:schemeClr val="tx1"/>
              </a:solidFill>
            </a:rPr>
            <a:t> Limp. Ro.</a:t>
          </a:r>
          <a:endParaRPr lang="es-CL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232682</xdr:colOff>
      <xdr:row>8</xdr:row>
      <xdr:rowOff>70304</xdr:rowOff>
    </xdr:from>
    <xdr:to>
      <xdr:col>14</xdr:col>
      <xdr:colOff>213632</xdr:colOff>
      <xdr:row>12</xdr:row>
      <xdr:rowOff>19504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B008C33-C961-4C2F-9EE7-A9EDC7C61895}"/>
            </a:ext>
          </a:extLst>
        </xdr:cNvPr>
        <xdr:cNvSpPr/>
      </xdr:nvSpPr>
      <xdr:spPr>
        <a:xfrm>
          <a:off x="9467396" y="1521733"/>
          <a:ext cx="1504950" cy="674914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Jameson</a:t>
          </a:r>
        </a:p>
      </xdr:txBody>
    </xdr:sp>
    <xdr:clientData/>
  </xdr:twoCellAnchor>
  <xdr:twoCellAnchor>
    <xdr:from>
      <xdr:col>12</xdr:col>
      <xdr:colOff>220406</xdr:colOff>
      <xdr:row>21</xdr:row>
      <xdr:rowOff>137388</xdr:rowOff>
    </xdr:from>
    <xdr:to>
      <xdr:col>14</xdr:col>
      <xdr:colOff>201356</xdr:colOff>
      <xdr:row>25</xdr:row>
      <xdr:rowOff>89763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5844577-EE3E-4070-8354-401921466291}"/>
            </a:ext>
          </a:extLst>
        </xdr:cNvPr>
        <xdr:cNvSpPr/>
      </xdr:nvSpPr>
      <xdr:spPr>
        <a:xfrm>
          <a:off x="9453306" y="5109438"/>
          <a:ext cx="1504950" cy="688975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1ra</a:t>
          </a:r>
          <a:r>
            <a:rPr lang="es-CL" sz="1600" b="1" baseline="0">
              <a:solidFill>
                <a:schemeClr val="tx1"/>
              </a:solidFill>
            </a:rPr>
            <a:t> Limp. Scv.</a:t>
          </a:r>
          <a:endParaRPr lang="es-CL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415301</xdr:colOff>
      <xdr:row>30</xdr:row>
      <xdr:rowOff>76624</xdr:rowOff>
    </xdr:from>
    <xdr:to>
      <xdr:col>7</xdr:col>
      <xdr:colOff>396251</xdr:colOff>
      <xdr:row>34</xdr:row>
      <xdr:rowOff>11629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AE67F64D-126B-4FC1-99D6-B5347529FB21}"/>
            </a:ext>
          </a:extLst>
        </xdr:cNvPr>
        <xdr:cNvSpPr/>
      </xdr:nvSpPr>
      <xdr:spPr>
        <a:xfrm>
          <a:off x="4314201" y="6706024"/>
          <a:ext cx="1504950" cy="671605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Conc. Final</a:t>
          </a:r>
        </a:p>
      </xdr:txBody>
    </xdr:sp>
    <xdr:clientData/>
  </xdr:twoCellAnchor>
  <xdr:twoCellAnchor>
    <xdr:from>
      <xdr:col>16</xdr:col>
      <xdr:colOff>560457</xdr:colOff>
      <xdr:row>1</xdr:row>
      <xdr:rowOff>116785</xdr:rowOff>
    </xdr:from>
    <xdr:to>
      <xdr:col>18</xdr:col>
      <xdr:colOff>541407</xdr:colOff>
      <xdr:row>5</xdr:row>
      <xdr:rowOff>59635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F3783270-FDDC-494F-8304-333FEC61AF84}"/>
            </a:ext>
          </a:extLst>
        </xdr:cNvPr>
        <xdr:cNvSpPr/>
      </xdr:nvSpPr>
      <xdr:spPr>
        <a:xfrm>
          <a:off x="12841357" y="300935"/>
          <a:ext cx="1504950" cy="679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Relave Final</a:t>
          </a:r>
        </a:p>
      </xdr:txBody>
    </xdr:sp>
    <xdr:clientData/>
  </xdr:twoCellAnchor>
  <xdr:twoCellAnchor>
    <xdr:from>
      <xdr:col>7</xdr:col>
      <xdr:colOff>85270</xdr:colOff>
      <xdr:row>8</xdr:row>
      <xdr:rowOff>73025</xdr:rowOff>
    </xdr:from>
    <xdr:to>
      <xdr:col>8</xdr:col>
      <xdr:colOff>409120</xdr:colOff>
      <xdr:row>12</xdr:row>
      <xdr:rowOff>19050</xdr:rowOff>
    </xdr:to>
    <xdr:sp macro="" textlink="">
      <xdr:nvSpPr>
        <xdr:cNvPr id="8" name="Rombo 7">
          <a:extLst>
            <a:ext uri="{FF2B5EF4-FFF2-40B4-BE49-F238E27FC236}">
              <a16:creationId xmlns:a16="http://schemas.microsoft.com/office/drawing/2014/main" id="{CD1F537B-C9D3-4911-86E2-B9D682B8D7FC}"/>
            </a:ext>
          </a:extLst>
        </xdr:cNvPr>
        <xdr:cNvSpPr/>
      </xdr:nvSpPr>
      <xdr:spPr>
        <a:xfrm>
          <a:off x="5509984" y="1524454"/>
          <a:ext cx="1085850" cy="671739"/>
        </a:xfrm>
        <a:prstGeom prst="diamond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/>
              </a:solidFill>
            </a:rPr>
            <a:t>Mezc.</a:t>
          </a:r>
        </a:p>
      </xdr:txBody>
    </xdr:sp>
    <xdr:clientData/>
  </xdr:twoCellAnchor>
  <xdr:twoCellAnchor>
    <xdr:from>
      <xdr:col>8</xdr:col>
      <xdr:colOff>409120</xdr:colOff>
      <xdr:row>10</xdr:row>
      <xdr:rowOff>44904</xdr:rowOff>
    </xdr:from>
    <xdr:to>
      <xdr:col>12</xdr:col>
      <xdr:colOff>232682</xdr:colOff>
      <xdr:row>10</xdr:row>
      <xdr:rowOff>46038</xdr:rowOff>
    </xdr:to>
    <xdr:cxnSp macro="">
      <xdr:nvCxnSpPr>
        <xdr:cNvPr id="9" name="Conector: angular 8">
          <a:extLst>
            <a:ext uri="{FF2B5EF4-FFF2-40B4-BE49-F238E27FC236}">
              <a16:creationId xmlns:a16="http://schemas.microsoft.com/office/drawing/2014/main" id="{23D27573-9CFC-4F01-AB43-D613EF546EC1}"/>
            </a:ext>
          </a:extLst>
        </xdr:cNvPr>
        <xdr:cNvCxnSpPr>
          <a:stCxn id="8" idx="3"/>
          <a:endCxn id="3" idx="1"/>
        </xdr:cNvCxnSpPr>
      </xdr:nvCxnSpPr>
      <xdr:spPr>
        <a:xfrm flipV="1">
          <a:off x="6595834" y="1859190"/>
          <a:ext cx="2871562" cy="113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10</xdr:row>
      <xdr:rowOff>17237</xdr:rowOff>
    </xdr:from>
    <xdr:to>
      <xdr:col>7</xdr:col>
      <xdr:colOff>85270</xdr:colOff>
      <xdr:row>10</xdr:row>
      <xdr:rowOff>46038</xdr:rowOff>
    </xdr:to>
    <xdr:cxnSp macro="">
      <xdr:nvCxnSpPr>
        <xdr:cNvPr id="10" name="Conector: angular 9">
          <a:extLst>
            <a:ext uri="{FF2B5EF4-FFF2-40B4-BE49-F238E27FC236}">
              <a16:creationId xmlns:a16="http://schemas.microsoft.com/office/drawing/2014/main" id="{997D38B2-32E8-4379-86C6-55D70FAA4067}"/>
            </a:ext>
          </a:extLst>
        </xdr:cNvPr>
        <xdr:cNvCxnSpPr>
          <a:stCxn id="2" idx="3"/>
          <a:endCxn id="8" idx="1"/>
        </xdr:cNvCxnSpPr>
      </xdr:nvCxnSpPr>
      <xdr:spPr>
        <a:xfrm>
          <a:off x="2971800" y="1831523"/>
          <a:ext cx="2538184" cy="28801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210881</xdr:colOff>
      <xdr:row>12</xdr:row>
      <xdr:rowOff>19504</xdr:rowOff>
    </xdr:from>
    <xdr:to>
      <xdr:col>13</xdr:col>
      <xdr:colOff>223157</xdr:colOff>
      <xdr:row>21</xdr:row>
      <xdr:rowOff>137388</xdr:rowOff>
    </xdr:to>
    <xdr:cxnSp macro="">
      <xdr:nvCxnSpPr>
        <xdr:cNvPr id="12" name="Conector: angular 11">
          <a:extLst>
            <a:ext uri="{FF2B5EF4-FFF2-40B4-BE49-F238E27FC236}">
              <a16:creationId xmlns:a16="http://schemas.microsoft.com/office/drawing/2014/main" id="{2323AFB6-A46C-46E0-86BC-402C0DF89085}"/>
            </a:ext>
          </a:extLst>
        </xdr:cNvPr>
        <xdr:cNvCxnSpPr>
          <a:cxnSpLocks/>
          <a:stCxn id="3" idx="2"/>
          <a:endCxn id="5" idx="0"/>
        </xdr:cNvCxnSpPr>
      </xdr:nvCxnSpPr>
      <xdr:spPr>
        <a:xfrm rot="5400000">
          <a:off x="8794077" y="3610165"/>
          <a:ext cx="2839312" cy="1227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628196</xdr:colOff>
      <xdr:row>12</xdr:row>
      <xdr:rowOff>19051</xdr:rowOff>
    </xdr:from>
    <xdr:to>
      <xdr:col>12</xdr:col>
      <xdr:colOff>220407</xdr:colOff>
      <xdr:row>23</xdr:row>
      <xdr:rowOff>113576</xdr:rowOff>
    </xdr:to>
    <xdr:cxnSp macro="">
      <xdr:nvCxnSpPr>
        <xdr:cNvPr id="13" name="Conector: angular 12">
          <a:extLst>
            <a:ext uri="{FF2B5EF4-FFF2-40B4-BE49-F238E27FC236}">
              <a16:creationId xmlns:a16="http://schemas.microsoft.com/office/drawing/2014/main" id="{ACE20927-08F8-4C37-87E9-304D1BE4B7E2}"/>
            </a:ext>
          </a:extLst>
        </xdr:cNvPr>
        <xdr:cNvCxnSpPr>
          <a:stCxn id="5" idx="1"/>
          <a:endCxn id="8" idx="2"/>
        </xdr:cNvCxnSpPr>
      </xdr:nvCxnSpPr>
      <xdr:spPr>
        <a:xfrm rot="10800000">
          <a:off x="6052910" y="2196194"/>
          <a:ext cx="3402211" cy="3178811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393076</xdr:colOff>
      <xdr:row>25</xdr:row>
      <xdr:rowOff>86588</xdr:rowOff>
    </xdr:from>
    <xdr:to>
      <xdr:col>13</xdr:col>
      <xdr:colOff>207706</xdr:colOff>
      <xdr:row>32</xdr:row>
      <xdr:rowOff>42540</xdr:rowOff>
    </xdr:to>
    <xdr:cxnSp macro="">
      <xdr:nvCxnSpPr>
        <xdr:cNvPr id="14" name="Conector: angular 13">
          <a:extLst>
            <a:ext uri="{FF2B5EF4-FFF2-40B4-BE49-F238E27FC236}">
              <a16:creationId xmlns:a16="http://schemas.microsoft.com/office/drawing/2014/main" id="{2432EC66-3B10-41DA-A190-582539EE59CB}"/>
            </a:ext>
          </a:extLst>
        </xdr:cNvPr>
        <xdr:cNvCxnSpPr>
          <a:stCxn id="5" idx="2"/>
          <a:endCxn id="6" idx="3"/>
        </xdr:cNvCxnSpPr>
      </xdr:nvCxnSpPr>
      <xdr:spPr>
        <a:xfrm rot="5400000">
          <a:off x="7386790" y="4224424"/>
          <a:ext cx="1245002" cy="438663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695324</xdr:colOff>
      <xdr:row>11</xdr:row>
      <xdr:rowOff>171451</xdr:rowOff>
    </xdr:from>
    <xdr:to>
      <xdr:col>5</xdr:col>
      <xdr:colOff>412125</xdr:colOff>
      <xdr:row>32</xdr:row>
      <xdr:rowOff>42540</xdr:rowOff>
    </xdr:to>
    <xdr:cxnSp macro="">
      <xdr:nvCxnSpPr>
        <xdr:cNvPr id="15" name="Conector: angular 14">
          <a:extLst>
            <a:ext uri="{FF2B5EF4-FFF2-40B4-BE49-F238E27FC236}">
              <a16:creationId xmlns:a16="http://schemas.microsoft.com/office/drawing/2014/main" id="{518AC14E-5F09-466B-A36F-9AA667BBD7D0}"/>
            </a:ext>
          </a:extLst>
        </xdr:cNvPr>
        <xdr:cNvCxnSpPr>
          <a:stCxn id="2" idx="2"/>
          <a:endCxn id="6" idx="1"/>
        </xdr:cNvCxnSpPr>
      </xdr:nvCxnSpPr>
      <xdr:spPr>
        <a:xfrm rot="16200000" flipH="1">
          <a:off x="843605" y="3572820"/>
          <a:ext cx="4843139" cy="2091701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213632</xdr:colOff>
      <xdr:row>5</xdr:row>
      <xdr:rowOff>59635</xdr:rowOff>
    </xdr:from>
    <xdr:to>
      <xdr:col>17</xdr:col>
      <xdr:colOff>550932</xdr:colOff>
      <xdr:row>10</xdr:row>
      <xdr:rowOff>44904</xdr:rowOff>
    </xdr:to>
    <xdr:cxnSp macro="">
      <xdr:nvCxnSpPr>
        <xdr:cNvPr id="16" name="Conector: angular 15">
          <a:extLst>
            <a:ext uri="{FF2B5EF4-FFF2-40B4-BE49-F238E27FC236}">
              <a16:creationId xmlns:a16="http://schemas.microsoft.com/office/drawing/2014/main" id="{8029FD9E-4006-437A-9B91-4A9E241A65CC}"/>
            </a:ext>
          </a:extLst>
        </xdr:cNvPr>
        <xdr:cNvCxnSpPr>
          <a:cxnSpLocks/>
          <a:stCxn id="3" idx="3"/>
          <a:endCxn id="7" idx="2"/>
        </xdr:cNvCxnSpPr>
      </xdr:nvCxnSpPr>
      <xdr:spPr>
        <a:xfrm flipV="1">
          <a:off x="10972346" y="966778"/>
          <a:ext cx="2623300" cy="892412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677241</xdr:colOff>
      <xdr:row>2</xdr:row>
      <xdr:rowOff>29953</xdr:rowOff>
    </xdr:from>
    <xdr:to>
      <xdr:col>2</xdr:col>
      <xdr:colOff>692150</xdr:colOff>
      <xdr:row>8</xdr:row>
      <xdr:rowOff>44450</xdr:rowOff>
    </xdr:to>
    <xdr:cxnSp macro="">
      <xdr:nvCxnSpPr>
        <xdr:cNvPr id="17" name="Conector: angular 16" descr="1&#10;">
          <a:extLst>
            <a:ext uri="{FF2B5EF4-FFF2-40B4-BE49-F238E27FC236}">
              <a16:creationId xmlns:a16="http://schemas.microsoft.com/office/drawing/2014/main" id="{DE4CF455-FC17-49C8-91FA-09D01FD32995}"/>
            </a:ext>
          </a:extLst>
        </xdr:cNvPr>
        <xdr:cNvCxnSpPr>
          <a:endCxn id="2" idx="0"/>
        </xdr:cNvCxnSpPr>
      </xdr:nvCxnSpPr>
      <xdr:spPr>
        <a:xfrm rot="16200000" flipH="1">
          <a:off x="1648997" y="950497"/>
          <a:ext cx="1119397" cy="14909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232682</xdr:colOff>
      <xdr:row>8</xdr:row>
      <xdr:rowOff>70304</xdr:rowOff>
    </xdr:from>
    <xdr:to>
      <xdr:col>14</xdr:col>
      <xdr:colOff>213632</xdr:colOff>
      <xdr:row>12</xdr:row>
      <xdr:rowOff>19504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0DE9143-2859-4311-8900-BD2D3C189109}"/>
            </a:ext>
          </a:extLst>
        </xdr:cNvPr>
        <xdr:cNvSpPr/>
      </xdr:nvSpPr>
      <xdr:spPr>
        <a:xfrm>
          <a:off x="9465582" y="1543504"/>
          <a:ext cx="1504950" cy="6858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Scavenger</a:t>
          </a:r>
        </a:p>
      </xdr:txBody>
    </xdr:sp>
    <xdr:clientData/>
  </xdr:twoCellAnchor>
  <xdr:twoCellAnchor>
    <xdr:from>
      <xdr:col>12</xdr:col>
      <xdr:colOff>220406</xdr:colOff>
      <xdr:row>21</xdr:row>
      <xdr:rowOff>137388</xdr:rowOff>
    </xdr:from>
    <xdr:to>
      <xdr:col>14</xdr:col>
      <xdr:colOff>201356</xdr:colOff>
      <xdr:row>25</xdr:row>
      <xdr:rowOff>89763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221592FC-602B-4C93-9FCD-932DED6F421B}"/>
            </a:ext>
          </a:extLst>
        </xdr:cNvPr>
        <xdr:cNvSpPr/>
      </xdr:nvSpPr>
      <xdr:spPr>
        <a:xfrm>
          <a:off x="9453306" y="4004538"/>
          <a:ext cx="1504950" cy="688975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1ra</a:t>
          </a:r>
          <a:r>
            <a:rPr lang="es-CL" sz="1600" b="1" baseline="0">
              <a:solidFill>
                <a:schemeClr val="tx1"/>
              </a:solidFill>
            </a:rPr>
            <a:t> Limp. Scv.</a:t>
          </a:r>
          <a:endParaRPr lang="es-CL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415301</xdr:colOff>
      <xdr:row>30</xdr:row>
      <xdr:rowOff>76624</xdr:rowOff>
    </xdr:from>
    <xdr:to>
      <xdr:col>7</xdr:col>
      <xdr:colOff>396251</xdr:colOff>
      <xdr:row>34</xdr:row>
      <xdr:rowOff>11629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F8048DA-987C-45C0-944F-A51F4E009710}"/>
            </a:ext>
          </a:extLst>
        </xdr:cNvPr>
        <xdr:cNvSpPr/>
      </xdr:nvSpPr>
      <xdr:spPr>
        <a:xfrm>
          <a:off x="4314201" y="5601124"/>
          <a:ext cx="1504950" cy="671605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Conc. Final</a:t>
          </a:r>
        </a:p>
      </xdr:txBody>
    </xdr:sp>
    <xdr:clientData/>
  </xdr:twoCellAnchor>
  <xdr:twoCellAnchor>
    <xdr:from>
      <xdr:col>16</xdr:col>
      <xdr:colOff>560457</xdr:colOff>
      <xdr:row>1</xdr:row>
      <xdr:rowOff>116785</xdr:rowOff>
    </xdr:from>
    <xdr:to>
      <xdr:col>18</xdr:col>
      <xdr:colOff>541407</xdr:colOff>
      <xdr:row>5</xdr:row>
      <xdr:rowOff>59635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73E83C62-6047-450F-82EC-632A19284159}"/>
            </a:ext>
          </a:extLst>
        </xdr:cNvPr>
        <xdr:cNvSpPr/>
      </xdr:nvSpPr>
      <xdr:spPr>
        <a:xfrm>
          <a:off x="12841357" y="300935"/>
          <a:ext cx="1504950" cy="679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Relave Final</a:t>
          </a:r>
        </a:p>
      </xdr:txBody>
    </xdr:sp>
    <xdr:clientData/>
  </xdr:twoCellAnchor>
  <xdr:twoCellAnchor>
    <xdr:from>
      <xdr:col>7</xdr:col>
      <xdr:colOff>85270</xdr:colOff>
      <xdr:row>8</xdr:row>
      <xdr:rowOff>73025</xdr:rowOff>
    </xdr:from>
    <xdr:to>
      <xdr:col>8</xdr:col>
      <xdr:colOff>409120</xdr:colOff>
      <xdr:row>12</xdr:row>
      <xdr:rowOff>19050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1A9633FC-AE3D-4D90-9F3C-BA3EF56C4EBD}"/>
            </a:ext>
          </a:extLst>
        </xdr:cNvPr>
        <xdr:cNvSpPr/>
      </xdr:nvSpPr>
      <xdr:spPr>
        <a:xfrm>
          <a:off x="5508170" y="1546225"/>
          <a:ext cx="1085850" cy="682625"/>
        </a:xfrm>
        <a:prstGeom prst="diamond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>
              <a:solidFill>
                <a:schemeClr val="tx1"/>
              </a:solidFill>
            </a:rPr>
            <a:t>Mezc.</a:t>
          </a:r>
        </a:p>
      </xdr:txBody>
    </xdr:sp>
    <xdr:clientData/>
  </xdr:twoCellAnchor>
  <xdr:twoCellAnchor>
    <xdr:from>
      <xdr:col>8</xdr:col>
      <xdr:colOff>409120</xdr:colOff>
      <xdr:row>10</xdr:row>
      <xdr:rowOff>44904</xdr:rowOff>
    </xdr:from>
    <xdr:to>
      <xdr:col>12</xdr:col>
      <xdr:colOff>232682</xdr:colOff>
      <xdr:row>10</xdr:row>
      <xdr:rowOff>46038</xdr:rowOff>
    </xdr:to>
    <xdr:cxnSp macro="">
      <xdr:nvCxnSpPr>
        <xdr:cNvPr id="8" name="Conector: angular 7">
          <a:extLst>
            <a:ext uri="{FF2B5EF4-FFF2-40B4-BE49-F238E27FC236}">
              <a16:creationId xmlns:a16="http://schemas.microsoft.com/office/drawing/2014/main" id="{EA8A03CD-E529-457F-9B5F-AAD8D53722E4}"/>
            </a:ext>
          </a:extLst>
        </xdr:cNvPr>
        <xdr:cNvCxnSpPr>
          <a:stCxn id="7" idx="3"/>
          <a:endCxn id="3" idx="1"/>
        </xdr:cNvCxnSpPr>
      </xdr:nvCxnSpPr>
      <xdr:spPr>
        <a:xfrm flipV="1">
          <a:off x="6594020" y="1886404"/>
          <a:ext cx="2871562" cy="113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747031</xdr:colOff>
      <xdr:row>10</xdr:row>
      <xdr:rowOff>46038</xdr:rowOff>
    </xdr:from>
    <xdr:to>
      <xdr:col>7</xdr:col>
      <xdr:colOff>85270</xdr:colOff>
      <xdr:row>10</xdr:row>
      <xdr:rowOff>48532</xdr:rowOff>
    </xdr:to>
    <xdr:cxnSp macro="">
      <xdr:nvCxnSpPr>
        <xdr:cNvPr id="9" name="Conector: angular 8">
          <a:extLst>
            <a:ext uri="{FF2B5EF4-FFF2-40B4-BE49-F238E27FC236}">
              <a16:creationId xmlns:a16="http://schemas.microsoft.com/office/drawing/2014/main" id="{26C4EE2E-A476-4F30-BC9D-9D3CA92A9BB8}"/>
            </a:ext>
          </a:extLst>
        </xdr:cNvPr>
        <xdr:cNvCxnSpPr>
          <a:cxnSpLocks/>
          <a:stCxn id="16" idx="3"/>
          <a:endCxn id="7" idx="1"/>
        </xdr:cNvCxnSpPr>
      </xdr:nvCxnSpPr>
      <xdr:spPr>
        <a:xfrm flipV="1">
          <a:off x="3033031" y="1860324"/>
          <a:ext cx="2476953" cy="2494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210881</xdr:colOff>
      <xdr:row>12</xdr:row>
      <xdr:rowOff>19504</xdr:rowOff>
    </xdr:from>
    <xdr:to>
      <xdr:col>13</xdr:col>
      <xdr:colOff>223157</xdr:colOff>
      <xdr:row>21</xdr:row>
      <xdr:rowOff>137388</xdr:rowOff>
    </xdr:to>
    <xdr:cxnSp macro="">
      <xdr:nvCxnSpPr>
        <xdr:cNvPr id="10" name="Conector: angular 9">
          <a:extLst>
            <a:ext uri="{FF2B5EF4-FFF2-40B4-BE49-F238E27FC236}">
              <a16:creationId xmlns:a16="http://schemas.microsoft.com/office/drawing/2014/main" id="{1E6B6752-6893-407C-983C-B870D264E81F}"/>
            </a:ext>
          </a:extLst>
        </xdr:cNvPr>
        <xdr:cNvCxnSpPr>
          <a:cxnSpLocks/>
          <a:stCxn id="3" idx="2"/>
          <a:endCxn id="4" idx="0"/>
        </xdr:cNvCxnSpPr>
      </xdr:nvCxnSpPr>
      <xdr:spPr>
        <a:xfrm rot="5400000">
          <a:off x="9324302" y="3110783"/>
          <a:ext cx="1775234" cy="1227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628196</xdr:colOff>
      <xdr:row>12</xdr:row>
      <xdr:rowOff>19051</xdr:rowOff>
    </xdr:from>
    <xdr:to>
      <xdr:col>12</xdr:col>
      <xdr:colOff>220407</xdr:colOff>
      <xdr:row>23</xdr:row>
      <xdr:rowOff>113576</xdr:rowOff>
    </xdr:to>
    <xdr:cxnSp macro="">
      <xdr:nvCxnSpPr>
        <xdr:cNvPr id="11" name="Conector: angular 10">
          <a:extLst>
            <a:ext uri="{FF2B5EF4-FFF2-40B4-BE49-F238E27FC236}">
              <a16:creationId xmlns:a16="http://schemas.microsoft.com/office/drawing/2014/main" id="{CD121D66-79BB-4F92-907C-8612C9AE63F9}"/>
            </a:ext>
          </a:extLst>
        </xdr:cNvPr>
        <xdr:cNvCxnSpPr>
          <a:stCxn id="4" idx="1"/>
          <a:endCxn id="7" idx="2"/>
        </xdr:cNvCxnSpPr>
      </xdr:nvCxnSpPr>
      <xdr:spPr>
        <a:xfrm rot="10800000">
          <a:off x="6051096" y="2228851"/>
          <a:ext cx="3402211" cy="2120175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393076</xdr:colOff>
      <xdr:row>25</xdr:row>
      <xdr:rowOff>86588</xdr:rowOff>
    </xdr:from>
    <xdr:to>
      <xdr:col>13</xdr:col>
      <xdr:colOff>207706</xdr:colOff>
      <xdr:row>32</xdr:row>
      <xdr:rowOff>42540</xdr:rowOff>
    </xdr:to>
    <xdr:cxnSp macro="">
      <xdr:nvCxnSpPr>
        <xdr:cNvPr id="12" name="Conector: angular 11">
          <a:extLst>
            <a:ext uri="{FF2B5EF4-FFF2-40B4-BE49-F238E27FC236}">
              <a16:creationId xmlns:a16="http://schemas.microsoft.com/office/drawing/2014/main" id="{30F918D8-E247-432C-A649-47C2DEB027BE}"/>
            </a:ext>
          </a:extLst>
        </xdr:cNvPr>
        <xdr:cNvCxnSpPr>
          <a:stCxn id="4" idx="2"/>
          <a:endCxn id="5" idx="3"/>
        </xdr:cNvCxnSpPr>
      </xdr:nvCxnSpPr>
      <xdr:spPr>
        <a:xfrm rot="5400000">
          <a:off x="7386790" y="3119524"/>
          <a:ext cx="1245002" cy="438663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756555</xdr:colOff>
      <xdr:row>12</xdr:row>
      <xdr:rowOff>23132</xdr:rowOff>
    </xdr:from>
    <xdr:to>
      <xdr:col>5</xdr:col>
      <xdr:colOff>415300</xdr:colOff>
      <xdr:row>32</xdr:row>
      <xdr:rowOff>44127</xdr:rowOff>
    </xdr:to>
    <xdr:cxnSp macro="">
      <xdr:nvCxnSpPr>
        <xdr:cNvPr id="13" name="Conector: angular 12">
          <a:extLst>
            <a:ext uri="{FF2B5EF4-FFF2-40B4-BE49-F238E27FC236}">
              <a16:creationId xmlns:a16="http://schemas.microsoft.com/office/drawing/2014/main" id="{C5A56F47-74F4-4AB9-85DE-442D313A5950}"/>
            </a:ext>
          </a:extLst>
        </xdr:cNvPr>
        <xdr:cNvCxnSpPr>
          <a:cxnSpLocks/>
          <a:stCxn id="16" idx="2"/>
          <a:endCxn id="5" idx="1"/>
        </xdr:cNvCxnSpPr>
      </xdr:nvCxnSpPr>
      <xdr:spPr>
        <a:xfrm rot="16200000" flipH="1">
          <a:off x="1473502" y="3007328"/>
          <a:ext cx="3649566" cy="2035459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213632</xdr:colOff>
      <xdr:row>5</xdr:row>
      <xdr:rowOff>59635</xdr:rowOff>
    </xdr:from>
    <xdr:to>
      <xdr:col>17</xdr:col>
      <xdr:colOff>550932</xdr:colOff>
      <xdr:row>10</xdr:row>
      <xdr:rowOff>44904</xdr:rowOff>
    </xdr:to>
    <xdr:cxnSp macro="">
      <xdr:nvCxnSpPr>
        <xdr:cNvPr id="14" name="Conector: angular 13">
          <a:extLst>
            <a:ext uri="{FF2B5EF4-FFF2-40B4-BE49-F238E27FC236}">
              <a16:creationId xmlns:a16="http://schemas.microsoft.com/office/drawing/2014/main" id="{DEFF881E-6076-4C35-AECA-67C5C3DF3CF0}"/>
            </a:ext>
          </a:extLst>
        </xdr:cNvPr>
        <xdr:cNvCxnSpPr>
          <a:cxnSpLocks/>
          <a:stCxn id="3" idx="3"/>
          <a:endCxn id="6" idx="2"/>
        </xdr:cNvCxnSpPr>
      </xdr:nvCxnSpPr>
      <xdr:spPr>
        <a:xfrm flipV="1">
          <a:off x="10970532" y="980385"/>
          <a:ext cx="2623300" cy="906019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749813</xdr:colOff>
      <xdr:row>2</xdr:row>
      <xdr:rowOff>66238</xdr:rowOff>
    </xdr:from>
    <xdr:to>
      <xdr:col>2</xdr:col>
      <xdr:colOff>756557</xdr:colOff>
      <xdr:row>8</xdr:row>
      <xdr:rowOff>73931</xdr:rowOff>
    </xdr:to>
    <xdr:cxnSp macro="">
      <xdr:nvCxnSpPr>
        <xdr:cNvPr id="15" name="Conector: angular 14" descr="1&#10;">
          <a:extLst>
            <a:ext uri="{FF2B5EF4-FFF2-40B4-BE49-F238E27FC236}">
              <a16:creationId xmlns:a16="http://schemas.microsoft.com/office/drawing/2014/main" id="{95038BC0-47C3-4984-89E1-06FCCB02EDA2}"/>
            </a:ext>
          </a:extLst>
        </xdr:cNvPr>
        <xdr:cNvCxnSpPr>
          <a:cxnSpLocks/>
          <a:endCxn id="16" idx="0"/>
        </xdr:cNvCxnSpPr>
      </xdr:nvCxnSpPr>
      <xdr:spPr>
        <a:xfrm rot="16200000" flipH="1">
          <a:off x="1729052" y="973856"/>
          <a:ext cx="1096265" cy="6744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4081</xdr:colOff>
      <xdr:row>8</xdr:row>
      <xdr:rowOff>73932</xdr:rowOff>
    </xdr:from>
    <xdr:to>
      <xdr:col>3</xdr:col>
      <xdr:colOff>747031</xdr:colOff>
      <xdr:row>12</xdr:row>
      <xdr:rowOff>23132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20AA3CAE-D5CE-43E0-A629-CBB67A109ADF}"/>
            </a:ext>
          </a:extLst>
        </xdr:cNvPr>
        <xdr:cNvSpPr/>
      </xdr:nvSpPr>
      <xdr:spPr>
        <a:xfrm>
          <a:off x="1528081" y="1525361"/>
          <a:ext cx="1504950" cy="674914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 b="1">
              <a:solidFill>
                <a:schemeClr val="tx1"/>
              </a:solidFill>
            </a:rPr>
            <a:t>Jameson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25DD-CD27-4A9F-B640-13251E96FB20}">
  <dimension ref="A1:S8"/>
  <sheetViews>
    <sheetView tabSelected="1" workbookViewId="0">
      <selection activeCell="E13" sqref="E12:E13"/>
    </sheetView>
  </sheetViews>
  <sheetFormatPr baseColWidth="10" defaultColWidth="8.7265625" defaultRowHeight="14.5" x14ac:dyDescent="0.35"/>
  <cols>
    <col min="1" max="1" width="9.81640625" style="1" bestFit="1" customWidth="1"/>
    <col min="2" max="2" width="5.36328125" style="1" bestFit="1" customWidth="1"/>
    <col min="3" max="3" width="12.1796875" style="1" bestFit="1" customWidth="1"/>
    <col min="4" max="5" width="11.81640625" style="1" bestFit="1" customWidth="1"/>
    <col min="6" max="16" width="9.81640625" style="1" customWidth="1"/>
    <col min="17" max="16384" width="8.7265625" style="1"/>
  </cols>
  <sheetData>
    <row r="1" spans="1:19" ht="16" x14ac:dyDescent="0.35">
      <c r="A1" s="27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</row>
    <row r="2" spans="1:19" x14ac:dyDescent="0.35">
      <c r="A2" s="19">
        <v>1</v>
      </c>
      <c r="B2" s="19" t="s">
        <v>11</v>
      </c>
      <c r="C2" s="35" t="s">
        <v>0</v>
      </c>
      <c r="D2" s="28">
        <v>0.23816874310905473</v>
      </c>
      <c r="E2" s="26">
        <v>0.56174480271146265</v>
      </c>
      <c r="F2" s="22">
        <v>1</v>
      </c>
      <c r="G2" s="15">
        <v>-1</v>
      </c>
      <c r="H2" s="15">
        <v>-1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6">
        <v>0</v>
      </c>
    </row>
    <row r="3" spans="1:19" x14ac:dyDescent="0.35">
      <c r="A3" s="20">
        <v>1</v>
      </c>
      <c r="B3" s="20" t="s">
        <v>12</v>
      </c>
      <c r="C3" s="36" t="s">
        <v>4</v>
      </c>
      <c r="D3" s="29">
        <v>0</v>
      </c>
      <c r="E3" s="30">
        <v>0</v>
      </c>
      <c r="F3" s="10">
        <v>0</v>
      </c>
      <c r="G3" s="3">
        <v>0</v>
      </c>
      <c r="H3" s="3">
        <v>1</v>
      </c>
      <c r="I3" s="3">
        <v>-1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11">
        <v>0</v>
      </c>
    </row>
    <row r="4" spans="1:19" x14ac:dyDescent="0.35">
      <c r="A4" s="20">
        <v>1</v>
      </c>
      <c r="B4" s="20" t="s">
        <v>11</v>
      </c>
      <c r="C4" s="36" t="s">
        <v>19</v>
      </c>
      <c r="D4" s="31">
        <v>7.7580117123518977E-2</v>
      </c>
      <c r="E4" s="32">
        <v>0.76741473567826057</v>
      </c>
      <c r="F4" s="10">
        <v>0</v>
      </c>
      <c r="G4" s="3">
        <v>0</v>
      </c>
      <c r="H4" s="3">
        <v>0</v>
      </c>
      <c r="I4" s="3">
        <v>1</v>
      </c>
      <c r="J4" s="3">
        <v>-1</v>
      </c>
      <c r="K4" s="3">
        <v>-1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11">
        <v>0</v>
      </c>
    </row>
    <row r="5" spans="1:19" x14ac:dyDescent="0.35">
      <c r="A5" s="20">
        <v>1</v>
      </c>
      <c r="B5" s="20" t="s">
        <v>12</v>
      </c>
      <c r="C5" s="36" t="s">
        <v>5</v>
      </c>
      <c r="D5" s="29">
        <v>0</v>
      </c>
      <c r="E5" s="30">
        <v>0</v>
      </c>
      <c r="F5" s="10">
        <v>0</v>
      </c>
      <c r="G5" s="3">
        <v>0</v>
      </c>
      <c r="H5" s="3">
        <v>0</v>
      </c>
      <c r="I5" s="3">
        <v>0</v>
      </c>
      <c r="J5" s="3">
        <v>0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-1</v>
      </c>
      <c r="S5" s="11">
        <v>0</v>
      </c>
    </row>
    <row r="6" spans="1:19" x14ac:dyDescent="0.35">
      <c r="A6" s="20">
        <v>1</v>
      </c>
      <c r="B6" s="20" t="s">
        <v>11</v>
      </c>
      <c r="C6" s="36" t="s">
        <v>14</v>
      </c>
      <c r="D6" s="31">
        <v>7.7580117123518977E-2</v>
      </c>
      <c r="E6" s="32">
        <v>0.76741473567826057</v>
      </c>
      <c r="F6" s="10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-1</v>
      </c>
      <c r="Q6" s="3">
        <v>-1</v>
      </c>
      <c r="R6" s="3">
        <v>0</v>
      </c>
      <c r="S6" s="11">
        <v>0</v>
      </c>
    </row>
    <row r="7" spans="1:19" x14ac:dyDescent="0.35">
      <c r="A7" s="20">
        <v>1</v>
      </c>
      <c r="B7" s="20" t="s">
        <v>11</v>
      </c>
      <c r="C7" s="36" t="s">
        <v>2</v>
      </c>
      <c r="D7" s="31">
        <v>0.55193859629457975</v>
      </c>
      <c r="E7" s="32">
        <v>0.84983674039082824</v>
      </c>
      <c r="F7" s="10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-1</v>
      </c>
      <c r="M7" s="3">
        <v>-1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11">
        <v>0</v>
      </c>
    </row>
    <row r="8" spans="1:19" x14ac:dyDescent="0.35">
      <c r="A8" s="21">
        <v>1</v>
      </c>
      <c r="B8" s="21" t="s">
        <v>11</v>
      </c>
      <c r="C8" s="37" t="s">
        <v>3</v>
      </c>
      <c r="D8" s="31">
        <v>2.0689375791045218E-2</v>
      </c>
      <c r="E8" s="32">
        <v>0.38284324802763214</v>
      </c>
      <c r="F8" s="12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1</v>
      </c>
      <c r="M8" s="13">
        <v>0</v>
      </c>
      <c r="N8" s="13">
        <v>-1</v>
      </c>
      <c r="O8" s="13">
        <v>-1</v>
      </c>
      <c r="P8" s="13">
        <v>0</v>
      </c>
      <c r="Q8" s="13">
        <v>0</v>
      </c>
      <c r="R8" s="13">
        <v>0</v>
      </c>
      <c r="S8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workbookViewId="0">
      <selection activeCell="U12" sqref="U12"/>
    </sheetView>
  </sheetViews>
  <sheetFormatPr baseColWidth="10" defaultColWidth="8.7265625" defaultRowHeight="14.5" x14ac:dyDescent="0.35"/>
  <cols>
    <col min="1" max="1" width="9.81640625" style="1" bestFit="1" customWidth="1"/>
    <col min="2" max="2" width="5.36328125" style="1" bestFit="1" customWidth="1"/>
    <col min="3" max="3" width="12.1796875" style="1" bestFit="1" customWidth="1"/>
    <col min="4" max="5" width="11.81640625" style="1" bestFit="1" customWidth="1"/>
    <col min="6" max="16" width="9.81640625" style="1" customWidth="1"/>
    <col min="17" max="16384" width="8.7265625" style="1"/>
  </cols>
  <sheetData>
    <row r="1" spans="1:19" ht="16" x14ac:dyDescent="0.35">
      <c r="A1" s="27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</row>
    <row r="2" spans="1:19" x14ac:dyDescent="0.35">
      <c r="A2" s="19">
        <v>1</v>
      </c>
      <c r="B2" s="19" t="s">
        <v>11</v>
      </c>
      <c r="C2" s="35" t="s">
        <v>0</v>
      </c>
      <c r="D2" s="28">
        <v>8.5811425008859618E-2</v>
      </c>
      <c r="E2" s="26">
        <v>0.568676146705834</v>
      </c>
      <c r="F2" s="22">
        <v>1</v>
      </c>
      <c r="G2" s="15">
        <v>-1</v>
      </c>
      <c r="H2" s="15">
        <v>-1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6">
        <v>0</v>
      </c>
    </row>
    <row r="3" spans="1:19" x14ac:dyDescent="0.35">
      <c r="A3" s="20">
        <v>1</v>
      </c>
      <c r="B3" s="20" t="s">
        <v>12</v>
      </c>
      <c r="C3" s="36" t="s">
        <v>4</v>
      </c>
      <c r="D3" s="29">
        <v>0</v>
      </c>
      <c r="E3" s="30">
        <v>0</v>
      </c>
      <c r="F3" s="10">
        <v>0</v>
      </c>
      <c r="G3" s="3">
        <v>0</v>
      </c>
      <c r="H3" s="3">
        <v>1</v>
      </c>
      <c r="I3" s="3">
        <v>-1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11">
        <v>0</v>
      </c>
    </row>
    <row r="4" spans="1:19" x14ac:dyDescent="0.35">
      <c r="A4" s="20">
        <v>1</v>
      </c>
      <c r="B4" s="20" t="s">
        <v>11</v>
      </c>
      <c r="C4" s="36" t="s">
        <v>19</v>
      </c>
      <c r="D4" s="31">
        <v>9.6588737608263309E-2</v>
      </c>
      <c r="E4" s="32">
        <v>0.76109496681985755</v>
      </c>
      <c r="F4" s="10">
        <v>0</v>
      </c>
      <c r="G4" s="3">
        <v>0</v>
      </c>
      <c r="H4" s="3">
        <v>0</v>
      </c>
      <c r="I4" s="3">
        <v>1</v>
      </c>
      <c r="J4" s="3">
        <v>-1</v>
      </c>
      <c r="K4" s="3">
        <v>-1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11">
        <v>0</v>
      </c>
    </row>
    <row r="5" spans="1:19" x14ac:dyDescent="0.35">
      <c r="A5" s="20">
        <v>1</v>
      </c>
      <c r="B5" s="20" t="s">
        <v>12</v>
      </c>
      <c r="C5" s="36" t="s">
        <v>5</v>
      </c>
      <c r="D5" s="29">
        <v>0</v>
      </c>
      <c r="E5" s="30">
        <v>0</v>
      </c>
      <c r="F5" s="10">
        <v>0</v>
      </c>
      <c r="G5" s="3">
        <v>0</v>
      </c>
      <c r="H5" s="3">
        <v>0</v>
      </c>
      <c r="I5" s="3">
        <v>0</v>
      </c>
      <c r="J5" s="3">
        <v>0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-1</v>
      </c>
      <c r="S5" s="11">
        <v>0</v>
      </c>
    </row>
    <row r="6" spans="1:19" x14ac:dyDescent="0.35">
      <c r="A6" s="20">
        <v>1</v>
      </c>
      <c r="B6" s="20" t="s">
        <v>11</v>
      </c>
      <c r="C6" s="36" t="s">
        <v>14</v>
      </c>
      <c r="D6" s="31">
        <v>9.6588737608263309E-2</v>
      </c>
      <c r="E6" s="32">
        <v>0.76109496681985755</v>
      </c>
      <c r="F6" s="10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-1</v>
      </c>
      <c r="Q6" s="3">
        <v>-1</v>
      </c>
      <c r="R6" s="3">
        <v>0</v>
      </c>
      <c r="S6" s="11">
        <v>0</v>
      </c>
    </row>
    <row r="7" spans="1:19" x14ac:dyDescent="0.35">
      <c r="A7" s="20">
        <v>1</v>
      </c>
      <c r="B7" s="20" t="s">
        <v>11</v>
      </c>
      <c r="C7" s="36" t="s">
        <v>2</v>
      </c>
      <c r="D7" s="31">
        <v>0.55193859629457975</v>
      </c>
      <c r="E7" s="32">
        <v>0.84983674039082824</v>
      </c>
      <c r="F7" s="10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-1</v>
      </c>
      <c r="M7" s="3">
        <v>-1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11">
        <v>0</v>
      </c>
    </row>
    <row r="8" spans="1:19" x14ac:dyDescent="0.35">
      <c r="A8" s="21">
        <v>1</v>
      </c>
      <c r="B8" s="21" t="s">
        <v>11</v>
      </c>
      <c r="C8" s="37" t="s">
        <v>3</v>
      </c>
      <c r="D8" s="31">
        <v>8.1224175490353309E-2</v>
      </c>
      <c r="E8" s="32">
        <v>0.39146289754326186</v>
      </c>
      <c r="F8" s="12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1</v>
      </c>
      <c r="M8" s="13">
        <v>0</v>
      </c>
      <c r="N8" s="13">
        <v>-1</v>
      </c>
      <c r="O8" s="13">
        <v>-1</v>
      </c>
      <c r="P8" s="13">
        <v>0</v>
      </c>
      <c r="Q8" s="13">
        <v>0</v>
      </c>
      <c r="R8" s="13">
        <v>0</v>
      </c>
      <c r="S8" s="14">
        <v>0</v>
      </c>
    </row>
    <row r="9" spans="1:19" x14ac:dyDescent="0.35">
      <c r="A9" s="19">
        <v>2</v>
      </c>
      <c r="B9" s="19" t="s">
        <v>11</v>
      </c>
      <c r="C9" s="16" t="s">
        <v>0</v>
      </c>
      <c r="D9" s="28">
        <v>8.5811425008859618E-2</v>
      </c>
      <c r="E9" s="26">
        <v>0.568676146705834</v>
      </c>
      <c r="F9" s="22">
        <v>1</v>
      </c>
      <c r="G9" s="15">
        <v>-1</v>
      </c>
      <c r="H9" s="15">
        <v>-1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6">
        <v>0</v>
      </c>
      <c r="Q9" s="15">
        <v>0</v>
      </c>
      <c r="R9" s="15">
        <v>0</v>
      </c>
      <c r="S9" s="16">
        <v>0</v>
      </c>
    </row>
    <row r="10" spans="1:19" x14ac:dyDescent="0.35">
      <c r="A10" s="20">
        <v>2</v>
      </c>
      <c r="B10" s="20" t="s">
        <v>12</v>
      </c>
      <c r="C10" s="11" t="s">
        <v>4</v>
      </c>
      <c r="D10" s="29">
        <v>0</v>
      </c>
      <c r="E10" s="30">
        <v>0</v>
      </c>
      <c r="F10" s="10">
        <v>0</v>
      </c>
      <c r="G10" s="3">
        <v>0</v>
      </c>
      <c r="H10" s="3">
        <v>1</v>
      </c>
      <c r="I10" s="3">
        <v>-1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</v>
      </c>
      <c r="P10" s="11">
        <v>0</v>
      </c>
      <c r="Q10" s="3">
        <v>0</v>
      </c>
      <c r="R10" s="3">
        <v>0</v>
      </c>
      <c r="S10" s="11">
        <v>0</v>
      </c>
    </row>
    <row r="11" spans="1:19" x14ac:dyDescent="0.35">
      <c r="A11" s="20">
        <v>2</v>
      </c>
      <c r="B11" s="20" t="s">
        <v>11</v>
      </c>
      <c r="C11" s="11" t="s">
        <v>19</v>
      </c>
      <c r="D11" s="29">
        <v>0</v>
      </c>
      <c r="E11" s="30">
        <v>0</v>
      </c>
      <c r="F11" s="10">
        <v>0</v>
      </c>
      <c r="G11" s="3">
        <v>0</v>
      </c>
      <c r="H11" s="3">
        <v>0</v>
      </c>
      <c r="I11" s="3">
        <v>1</v>
      </c>
      <c r="J11" s="3">
        <v>-1</v>
      </c>
      <c r="K11" s="3">
        <v>-1</v>
      </c>
      <c r="L11" s="3">
        <v>0</v>
      </c>
      <c r="M11" s="3">
        <v>0</v>
      </c>
      <c r="N11" s="3">
        <v>0</v>
      </c>
      <c r="O11" s="3">
        <v>0</v>
      </c>
      <c r="P11" s="11">
        <v>0</v>
      </c>
      <c r="Q11" s="3">
        <v>0</v>
      </c>
      <c r="R11" s="3">
        <v>0</v>
      </c>
      <c r="S11" s="11">
        <v>0</v>
      </c>
    </row>
    <row r="12" spans="1:19" x14ac:dyDescent="0.35">
      <c r="A12" s="20">
        <v>2</v>
      </c>
      <c r="B12" s="20" t="s">
        <v>11</v>
      </c>
      <c r="C12" s="11" t="s">
        <v>2</v>
      </c>
      <c r="D12" s="29">
        <v>0</v>
      </c>
      <c r="E12" s="30">
        <v>0</v>
      </c>
      <c r="F12" s="10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-1</v>
      </c>
      <c r="M12" s="3">
        <v>-1</v>
      </c>
      <c r="N12" s="3">
        <v>0</v>
      </c>
      <c r="O12" s="3">
        <v>0</v>
      </c>
      <c r="P12" s="11">
        <v>0</v>
      </c>
      <c r="Q12" s="3">
        <v>0</v>
      </c>
      <c r="R12" s="3">
        <v>0</v>
      </c>
      <c r="S12" s="11">
        <v>0</v>
      </c>
    </row>
    <row r="13" spans="1:19" x14ac:dyDescent="0.35">
      <c r="A13" s="20">
        <v>2</v>
      </c>
      <c r="B13" s="20" t="s">
        <v>12</v>
      </c>
      <c r="C13" s="11" t="s">
        <v>5</v>
      </c>
      <c r="D13" s="29">
        <v>0</v>
      </c>
      <c r="E13" s="30">
        <v>0</v>
      </c>
      <c r="F13" s="10">
        <v>0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3">
        <v>1</v>
      </c>
      <c r="M13" s="3">
        <v>0</v>
      </c>
      <c r="N13" s="3">
        <v>0</v>
      </c>
      <c r="O13" s="3">
        <v>0</v>
      </c>
      <c r="P13" s="11">
        <v>-1</v>
      </c>
      <c r="Q13" s="3">
        <v>0</v>
      </c>
      <c r="R13" s="3">
        <v>0</v>
      </c>
      <c r="S13" s="11">
        <v>0</v>
      </c>
    </row>
    <row r="14" spans="1:19" x14ac:dyDescent="0.35">
      <c r="A14" s="21">
        <v>2</v>
      </c>
      <c r="B14" s="21" t="s">
        <v>11</v>
      </c>
      <c r="C14" s="14" t="s">
        <v>3</v>
      </c>
      <c r="D14" s="33">
        <v>0</v>
      </c>
      <c r="E14" s="34">
        <v>0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-1</v>
      </c>
      <c r="O14" s="13">
        <v>-1</v>
      </c>
      <c r="P14" s="14">
        <v>1</v>
      </c>
      <c r="Q14" s="13">
        <v>0</v>
      </c>
      <c r="R14" s="13">
        <v>0</v>
      </c>
      <c r="S14" s="14">
        <v>0</v>
      </c>
    </row>
    <row r="15" spans="1:19" x14ac:dyDescent="0.35">
      <c r="A15" s="1">
        <v>10</v>
      </c>
      <c r="B15" s="21" t="s">
        <v>11</v>
      </c>
      <c r="C15" s="36" t="s">
        <v>0</v>
      </c>
      <c r="D15" s="28">
        <v>8.5811425008859618E-2</v>
      </c>
      <c r="E15" s="26">
        <v>0.568676146705834</v>
      </c>
      <c r="F15" s="22">
        <v>1</v>
      </c>
      <c r="G15" s="15">
        <v>-1</v>
      </c>
      <c r="H15" s="15">
        <v>-1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6">
        <v>0</v>
      </c>
    </row>
    <row r="16" spans="1:19" x14ac:dyDescent="0.35">
      <c r="A16" s="1">
        <v>10</v>
      </c>
      <c r="B16" s="20" t="s">
        <v>12</v>
      </c>
      <c r="C16" s="36" t="s">
        <v>4</v>
      </c>
      <c r="D16" s="29">
        <v>0</v>
      </c>
      <c r="E16" s="30">
        <v>0</v>
      </c>
      <c r="F16" s="10">
        <v>0</v>
      </c>
      <c r="G16" s="3">
        <v>0</v>
      </c>
      <c r="H16" s="3">
        <v>1</v>
      </c>
      <c r="I16" s="3">
        <v>-1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0</v>
      </c>
      <c r="Q16" s="3">
        <v>0</v>
      </c>
      <c r="R16" s="3">
        <v>0</v>
      </c>
      <c r="S16" s="11">
        <v>0</v>
      </c>
    </row>
    <row r="17" spans="1:19" x14ac:dyDescent="0.35">
      <c r="A17" s="1">
        <v>10</v>
      </c>
      <c r="B17" s="21" t="s">
        <v>11</v>
      </c>
      <c r="C17" s="36" t="s">
        <v>19</v>
      </c>
      <c r="D17" s="29">
        <v>0</v>
      </c>
      <c r="E17" s="30">
        <v>0</v>
      </c>
      <c r="F17" s="10">
        <v>0</v>
      </c>
      <c r="G17" s="3">
        <v>0</v>
      </c>
      <c r="H17" s="3">
        <v>0</v>
      </c>
      <c r="I17" s="3">
        <v>1</v>
      </c>
      <c r="J17" s="3">
        <v>-1</v>
      </c>
      <c r="K17" s="3">
        <v>-1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11">
        <v>0</v>
      </c>
    </row>
    <row r="18" spans="1:19" x14ac:dyDescent="0.35">
      <c r="A18" s="1">
        <v>10</v>
      </c>
      <c r="B18" s="20" t="s">
        <v>12</v>
      </c>
      <c r="C18" s="36" t="s">
        <v>5</v>
      </c>
      <c r="D18" s="29">
        <v>0</v>
      </c>
      <c r="E18" s="30">
        <v>0</v>
      </c>
      <c r="F18" s="10">
        <v>0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</v>
      </c>
      <c r="R18" s="3">
        <v>-1</v>
      </c>
      <c r="S18" s="11">
        <v>0</v>
      </c>
    </row>
    <row r="19" spans="1:19" x14ac:dyDescent="0.35">
      <c r="A19" s="1">
        <v>10</v>
      </c>
      <c r="B19" s="21" t="s">
        <v>11</v>
      </c>
      <c r="C19" s="36" t="s">
        <v>14</v>
      </c>
      <c r="D19" s="29">
        <v>0</v>
      </c>
      <c r="E19" s="30">
        <v>0</v>
      </c>
      <c r="F19" s="10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-1</v>
      </c>
      <c r="Q19" s="3">
        <v>-1</v>
      </c>
      <c r="R19" s="3">
        <v>0</v>
      </c>
      <c r="S19" s="11">
        <v>1</v>
      </c>
    </row>
    <row r="20" spans="1:19" x14ac:dyDescent="0.35">
      <c r="A20" s="1">
        <v>10</v>
      </c>
      <c r="B20" s="20" t="s">
        <v>12</v>
      </c>
      <c r="C20" s="36" t="s">
        <v>15</v>
      </c>
      <c r="D20" s="29">
        <v>0</v>
      </c>
      <c r="E20" s="30">
        <v>0</v>
      </c>
      <c r="F20" s="10">
        <v>0</v>
      </c>
      <c r="G20" s="3">
        <v>0</v>
      </c>
      <c r="H20" s="3">
        <v>0</v>
      </c>
      <c r="I20" s="3">
        <v>0</v>
      </c>
      <c r="J20" s="3">
        <v>1</v>
      </c>
      <c r="K20" s="3">
        <v>0</v>
      </c>
      <c r="L20" s="3">
        <v>0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11">
        <v>-1</v>
      </c>
    </row>
    <row r="21" spans="1:19" x14ac:dyDescent="0.35">
      <c r="A21" s="1">
        <v>10</v>
      </c>
      <c r="B21" s="21" t="s">
        <v>11</v>
      </c>
      <c r="C21" s="36" t="s">
        <v>2</v>
      </c>
      <c r="D21" s="29">
        <v>0</v>
      </c>
      <c r="E21" s="30">
        <v>0</v>
      </c>
      <c r="F21" s="10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-1</v>
      </c>
      <c r="M21" s="3">
        <v>-1</v>
      </c>
      <c r="N21" s="3">
        <v>0</v>
      </c>
      <c r="O21" s="3">
        <v>0</v>
      </c>
      <c r="P21" s="3">
        <v>0</v>
      </c>
      <c r="Q21" s="3">
        <v>0</v>
      </c>
      <c r="R21" s="3">
        <v>1</v>
      </c>
      <c r="S21" s="11">
        <v>0</v>
      </c>
    </row>
    <row r="22" spans="1:19" x14ac:dyDescent="0.35">
      <c r="A22" s="1">
        <v>10</v>
      </c>
      <c r="B22" s="20" t="s">
        <v>11</v>
      </c>
      <c r="C22" s="36" t="s">
        <v>3</v>
      </c>
      <c r="D22" s="29">
        <v>0</v>
      </c>
      <c r="E22" s="30">
        <v>0</v>
      </c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1</v>
      </c>
      <c r="M22" s="13">
        <v>0</v>
      </c>
      <c r="N22" s="13">
        <v>-1</v>
      </c>
      <c r="O22" s="13">
        <v>-1</v>
      </c>
      <c r="P22" s="13">
        <v>0</v>
      </c>
      <c r="Q22" s="13">
        <v>0</v>
      </c>
      <c r="R22" s="13">
        <v>0</v>
      </c>
      <c r="S22" s="14">
        <v>0</v>
      </c>
    </row>
    <row r="23" spans="1:19" x14ac:dyDescent="0.35">
      <c r="A23" s="19">
        <v>3</v>
      </c>
      <c r="B23" s="38" t="s">
        <v>11</v>
      </c>
      <c r="C23" s="16" t="s">
        <v>0</v>
      </c>
      <c r="D23" s="28">
        <v>8.5811425008859618E-2</v>
      </c>
      <c r="E23" s="26">
        <v>0.568676146705834</v>
      </c>
      <c r="F23" s="22">
        <v>1</v>
      </c>
      <c r="G23" s="15">
        <v>-1</v>
      </c>
      <c r="H23" s="15">
        <v>-1</v>
      </c>
      <c r="I23" s="15">
        <v>0</v>
      </c>
      <c r="J23" s="15">
        <v>0</v>
      </c>
      <c r="K23" s="15">
        <v>0</v>
      </c>
      <c r="L23" s="15">
        <v>0</v>
      </c>
      <c r="M23" s="16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23">
        <v>0</v>
      </c>
    </row>
    <row r="24" spans="1:19" x14ac:dyDescent="0.35">
      <c r="A24" s="20">
        <v>3</v>
      </c>
      <c r="B24" s="20" t="s">
        <v>12</v>
      </c>
      <c r="C24" s="11" t="s">
        <v>4</v>
      </c>
      <c r="D24" s="20">
        <v>0</v>
      </c>
      <c r="E24" s="24">
        <v>0</v>
      </c>
      <c r="F24" s="10">
        <v>0</v>
      </c>
      <c r="G24" s="3">
        <v>0</v>
      </c>
      <c r="H24" s="3">
        <v>1</v>
      </c>
      <c r="I24" s="3">
        <v>-1</v>
      </c>
      <c r="J24" s="3">
        <v>0</v>
      </c>
      <c r="K24" s="3">
        <v>0</v>
      </c>
      <c r="L24" s="3">
        <v>0</v>
      </c>
      <c r="M24" s="1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24">
        <v>0</v>
      </c>
    </row>
    <row r="25" spans="1:19" x14ac:dyDescent="0.35">
      <c r="A25" s="20">
        <v>3</v>
      </c>
      <c r="B25" s="21" t="s">
        <v>11</v>
      </c>
      <c r="C25" s="11" t="s">
        <v>19</v>
      </c>
      <c r="D25" s="20">
        <v>0</v>
      </c>
      <c r="E25" s="24">
        <v>0</v>
      </c>
      <c r="F25" s="10">
        <v>0</v>
      </c>
      <c r="G25" s="3">
        <v>0</v>
      </c>
      <c r="H25" s="3">
        <v>0</v>
      </c>
      <c r="I25" s="3">
        <v>1</v>
      </c>
      <c r="J25" s="3">
        <v>-1</v>
      </c>
      <c r="K25" s="3">
        <v>-1</v>
      </c>
      <c r="L25" s="3">
        <v>0</v>
      </c>
      <c r="M25" s="1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24">
        <v>0</v>
      </c>
    </row>
    <row r="26" spans="1:19" x14ac:dyDescent="0.35">
      <c r="A26" s="21">
        <v>3</v>
      </c>
      <c r="B26" s="21" t="s">
        <v>11</v>
      </c>
      <c r="C26" s="14" t="s">
        <v>3</v>
      </c>
      <c r="D26" s="21">
        <v>0</v>
      </c>
      <c r="E26" s="25">
        <v>0</v>
      </c>
      <c r="F26" s="12">
        <v>0</v>
      </c>
      <c r="G26" s="13">
        <v>0</v>
      </c>
      <c r="H26" s="13">
        <v>0</v>
      </c>
      <c r="I26" s="13">
        <v>0</v>
      </c>
      <c r="J26" s="13">
        <v>1</v>
      </c>
      <c r="K26" s="13">
        <v>0</v>
      </c>
      <c r="L26" s="13">
        <v>-1</v>
      </c>
      <c r="M26" s="14">
        <v>-1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25">
        <v>0</v>
      </c>
    </row>
    <row r="27" spans="1:19" x14ac:dyDescent="0.35">
      <c r="A27" s="19">
        <v>4</v>
      </c>
      <c r="B27" s="38" t="s">
        <v>11</v>
      </c>
      <c r="C27" s="16" t="s">
        <v>19</v>
      </c>
      <c r="D27" s="28">
        <v>8.5811425008859618E-2</v>
      </c>
      <c r="E27" s="26">
        <v>0.568676146705834</v>
      </c>
      <c r="F27" s="22">
        <v>1</v>
      </c>
      <c r="G27" s="15">
        <v>-1</v>
      </c>
      <c r="H27" s="15">
        <v>-1</v>
      </c>
      <c r="I27" s="15">
        <v>0</v>
      </c>
      <c r="J27" s="15">
        <v>0</v>
      </c>
      <c r="K27" s="15">
        <v>0</v>
      </c>
      <c r="L27" s="15">
        <v>0</v>
      </c>
      <c r="M27" s="16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23">
        <v>0</v>
      </c>
    </row>
    <row r="28" spans="1:19" x14ac:dyDescent="0.35">
      <c r="A28" s="20">
        <v>4</v>
      </c>
      <c r="B28" s="20" t="s">
        <v>12</v>
      </c>
      <c r="C28" s="11" t="s">
        <v>4</v>
      </c>
      <c r="D28" s="20">
        <v>0</v>
      </c>
      <c r="E28" s="24">
        <v>0</v>
      </c>
      <c r="F28" s="10">
        <v>0</v>
      </c>
      <c r="G28" s="3">
        <v>0</v>
      </c>
      <c r="H28" s="3">
        <v>1</v>
      </c>
      <c r="I28" s="3">
        <v>-1</v>
      </c>
      <c r="J28" s="3">
        <v>0</v>
      </c>
      <c r="K28" s="3">
        <v>0</v>
      </c>
      <c r="L28" s="3">
        <v>0</v>
      </c>
      <c r="M28" s="1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24">
        <v>0</v>
      </c>
    </row>
    <row r="29" spans="1:19" x14ac:dyDescent="0.35">
      <c r="A29" s="20">
        <v>4</v>
      </c>
      <c r="B29" s="21" t="s">
        <v>11</v>
      </c>
      <c r="C29" s="11" t="s">
        <v>2</v>
      </c>
      <c r="D29" s="31">
        <v>0.55193859629457975</v>
      </c>
      <c r="E29" s="32">
        <v>0.84983674039082824</v>
      </c>
      <c r="F29" s="10">
        <v>0</v>
      </c>
      <c r="G29" s="3">
        <v>0</v>
      </c>
      <c r="H29" s="3">
        <v>0</v>
      </c>
      <c r="I29" s="3">
        <v>1</v>
      </c>
      <c r="J29" s="3">
        <v>-1</v>
      </c>
      <c r="K29" s="3">
        <v>-1</v>
      </c>
      <c r="L29" s="3">
        <v>0</v>
      </c>
      <c r="M29" s="1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24">
        <v>0</v>
      </c>
    </row>
    <row r="30" spans="1:19" x14ac:dyDescent="0.35">
      <c r="A30" s="21">
        <v>4</v>
      </c>
      <c r="B30" s="21" t="s">
        <v>11</v>
      </c>
      <c r="C30" s="14" t="s">
        <v>3</v>
      </c>
      <c r="D30" s="31">
        <v>8.1224175490353309E-2</v>
      </c>
      <c r="E30" s="32">
        <v>0.39146289754326186</v>
      </c>
      <c r="F30" s="12">
        <v>0</v>
      </c>
      <c r="G30" s="13">
        <v>0</v>
      </c>
      <c r="H30" s="13">
        <v>0</v>
      </c>
      <c r="I30" s="13">
        <v>0</v>
      </c>
      <c r="J30" s="13">
        <v>1</v>
      </c>
      <c r="K30" s="13">
        <v>0</v>
      </c>
      <c r="L30" s="13">
        <v>-1</v>
      </c>
      <c r="M30" s="14">
        <v>-1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5985-6C84-4320-84DE-286573E18EC2}">
  <dimension ref="D7:R51"/>
  <sheetViews>
    <sheetView showGridLines="0" zoomScale="85" zoomScaleNormal="85" workbookViewId="0">
      <selection activeCell="U44" sqref="U44"/>
    </sheetView>
  </sheetViews>
  <sheetFormatPr baseColWidth="10" defaultRowHeight="14.5" x14ac:dyDescent="0.35"/>
  <cols>
    <col min="4" max="4" width="12.1796875" bestFit="1" customWidth="1"/>
  </cols>
  <sheetData>
    <row r="7" spans="4:15" x14ac:dyDescent="0.35">
      <c r="D7" s="2">
        <v>4</v>
      </c>
    </row>
    <row r="9" spans="4:15" x14ac:dyDescent="0.35">
      <c r="G9" t="s">
        <v>16</v>
      </c>
      <c r="L9" t="s">
        <v>18</v>
      </c>
    </row>
    <row r="10" spans="4:15" x14ac:dyDescent="0.35">
      <c r="E10">
        <v>6</v>
      </c>
      <c r="H10" s="1">
        <v>7</v>
      </c>
      <c r="K10">
        <v>9</v>
      </c>
      <c r="L10" s="7">
        <v>16</v>
      </c>
      <c r="O10">
        <v>11</v>
      </c>
    </row>
    <row r="14" spans="4:15" x14ac:dyDescent="0.35">
      <c r="D14" s="2">
        <v>5</v>
      </c>
      <c r="I14">
        <v>8</v>
      </c>
    </row>
    <row r="15" spans="4:15" x14ac:dyDescent="0.35">
      <c r="N15" s="2">
        <v>10</v>
      </c>
    </row>
    <row r="16" spans="4:15" x14ac:dyDescent="0.35">
      <c r="I16" s="3" t="s">
        <v>17</v>
      </c>
    </row>
    <row r="21" spans="9:14" x14ac:dyDescent="0.35">
      <c r="K21" s="2">
        <v>15</v>
      </c>
    </row>
    <row r="24" spans="9:14" x14ac:dyDescent="0.35">
      <c r="N24" s="2"/>
    </row>
    <row r="26" spans="9:14" x14ac:dyDescent="0.35">
      <c r="I26">
        <v>14</v>
      </c>
    </row>
    <row r="29" spans="9:14" x14ac:dyDescent="0.35">
      <c r="L29">
        <v>13</v>
      </c>
    </row>
    <row r="34" spans="4:18" x14ac:dyDescent="0.35">
      <c r="M34">
        <v>12</v>
      </c>
    </row>
    <row r="43" spans="4:18" ht="16" x14ac:dyDescent="0.35">
      <c r="D43" s="8"/>
      <c r="E43" s="9">
        <v>4</v>
      </c>
      <c r="F43" s="9">
        <v>5</v>
      </c>
      <c r="G43" s="9">
        <v>6</v>
      </c>
      <c r="H43" s="9">
        <v>7</v>
      </c>
      <c r="I43" s="9">
        <v>8</v>
      </c>
      <c r="J43" s="9">
        <v>9</v>
      </c>
      <c r="K43" s="9">
        <v>10</v>
      </c>
      <c r="L43" s="9">
        <v>11</v>
      </c>
      <c r="M43" s="9">
        <v>12</v>
      </c>
      <c r="N43" s="9">
        <v>13</v>
      </c>
      <c r="O43" s="9">
        <v>14</v>
      </c>
      <c r="P43" s="9">
        <v>15</v>
      </c>
      <c r="Q43" s="9">
        <v>16</v>
      </c>
      <c r="R43" s="9">
        <v>17</v>
      </c>
    </row>
    <row r="44" spans="4:18" x14ac:dyDescent="0.35">
      <c r="D44" s="10" t="s">
        <v>0</v>
      </c>
      <c r="E44" s="22">
        <v>1</v>
      </c>
      <c r="F44" s="15">
        <v>-1</v>
      </c>
      <c r="G44" s="15">
        <v>-1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6">
        <v>0</v>
      </c>
    </row>
    <row r="45" spans="4:18" x14ac:dyDescent="0.35">
      <c r="D45" s="10" t="s">
        <v>4</v>
      </c>
      <c r="E45" s="10">
        <v>0</v>
      </c>
      <c r="F45" s="3">
        <v>0</v>
      </c>
      <c r="G45" s="3">
        <v>1</v>
      </c>
      <c r="H45" s="3">
        <v>-1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0</v>
      </c>
      <c r="P45" s="3">
        <v>0</v>
      </c>
      <c r="Q45" s="3">
        <v>0</v>
      </c>
      <c r="R45" s="11">
        <v>0</v>
      </c>
    </row>
    <row r="46" spans="4:18" x14ac:dyDescent="0.35">
      <c r="D46" s="10" t="s">
        <v>13</v>
      </c>
      <c r="E46" s="10">
        <v>0</v>
      </c>
      <c r="F46" s="3">
        <v>0</v>
      </c>
      <c r="G46" s="3">
        <v>0</v>
      </c>
      <c r="H46" s="3">
        <v>1</v>
      </c>
      <c r="I46" s="3">
        <v>-1</v>
      </c>
      <c r="J46" s="3">
        <v>-1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11">
        <v>0</v>
      </c>
    </row>
    <row r="47" spans="4:18" x14ac:dyDescent="0.35">
      <c r="D47" s="10" t="s">
        <v>5</v>
      </c>
      <c r="E47" s="10">
        <v>0</v>
      </c>
      <c r="F47" s="3">
        <v>0</v>
      </c>
      <c r="G47" s="3">
        <v>0</v>
      </c>
      <c r="H47" s="3">
        <v>0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-1</v>
      </c>
      <c r="R47" s="11">
        <v>0</v>
      </c>
    </row>
    <row r="48" spans="4:18" x14ac:dyDescent="0.35">
      <c r="D48" s="10" t="s">
        <v>14</v>
      </c>
      <c r="E48" s="10">
        <v>0</v>
      </c>
      <c r="F48" s="3">
        <v>0</v>
      </c>
      <c r="G48" s="3">
        <v>0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-1</v>
      </c>
      <c r="P48" s="3">
        <v>-1</v>
      </c>
      <c r="Q48" s="3">
        <v>0</v>
      </c>
      <c r="R48" s="11">
        <v>0</v>
      </c>
    </row>
    <row r="49" spans="4:18" x14ac:dyDescent="0.35">
      <c r="D49" s="10" t="s">
        <v>2</v>
      </c>
      <c r="E49" s="10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-1</v>
      </c>
      <c r="L49" s="3">
        <v>-1</v>
      </c>
      <c r="M49" s="3">
        <v>0</v>
      </c>
      <c r="N49" s="3">
        <v>0</v>
      </c>
      <c r="O49" s="3">
        <v>0</v>
      </c>
      <c r="P49" s="3">
        <v>0</v>
      </c>
      <c r="Q49" s="3">
        <v>1</v>
      </c>
      <c r="R49" s="11">
        <v>0</v>
      </c>
    </row>
    <row r="50" spans="4:18" x14ac:dyDescent="0.35">
      <c r="D50" s="12" t="s">
        <v>3</v>
      </c>
      <c r="E50" s="12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1</v>
      </c>
      <c r="L50" s="13">
        <v>0</v>
      </c>
      <c r="M50" s="13">
        <v>-1</v>
      </c>
      <c r="N50" s="13">
        <v>-1</v>
      </c>
      <c r="O50" s="13">
        <v>0</v>
      </c>
      <c r="P50" s="13">
        <v>0</v>
      </c>
      <c r="Q50" s="13">
        <v>0</v>
      </c>
      <c r="R50" s="14">
        <v>0</v>
      </c>
    </row>
    <row r="51" spans="4:18" x14ac:dyDescent="0.35">
      <c r="E51" s="3">
        <f t="shared" ref="E51:R51" si="0">SUM(E44:E50)</f>
        <v>1</v>
      </c>
      <c r="F51" s="3">
        <f t="shared" si="0"/>
        <v>-1</v>
      </c>
      <c r="G51" s="3">
        <f t="shared" si="0"/>
        <v>0</v>
      </c>
      <c r="H51" s="3">
        <f t="shared" si="0"/>
        <v>0</v>
      </c>
      <c r="I51" s="3">
        <f t="shared" si="0"/>
        <v>0</v>
      </c>
      <c r="J51" s="3">
        <f t="shared" si="0"/>
        <v>0</v>
      </c>
      <c r="K51" s="3">
        <f t="shared" si="0"/>
        <v>0</v>
      </c>
      <c r="L51" s="3">
        <f t="shared" si="0"/>
        <v>-1</v>
      </c>
      <c r="M51" s="3">
        <f t="shared" si="0"/>
        <v>-1</v>
      </c>
      <c r="N51" s="3">
        <f t="shared" si="0"/>
        <v>0</v>
      </c>
      <c r="O51" s="3">
        <f t="shared" si="0"/>
        <v>-1</v>
      </c>
      <c r="P51" s="3">
        <f t="shared" si="0"/>
        <v>0</v>
      </c>
      <c r="Q51" s="3">
        <f t="shared" si="0"/>
        <v>0</v>
      </c>
      <c r="R51" s="3">
        <f t="shared" si="0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283A-CA58-4495-8861-4E4A8E51AC0C}">
  <dimension ref="D7:R52"/>
  <sheetViews>
    <sheetView showGridLines="0" topLeftCell="A31" zoomScale="70" zoomScaleNormal="70" workbookViewId="0">
      <selection activeCell="R44" sqref="E44:R51"/>
    </sheetView>
  </sheetViews>
  <sheetFormatPr baseColWidth="10" defaultRowHeight="14.5" x14ac:dyDescent="0.35"/>
  <cols>
    <col min="4" max="4" width="12.1796875" bestFit="1" customWidth="1"/>
  </cols>
  <sheetData>
    <row r="7" spans="4:15" x14ac:dyDescent="0.35">
      <c r="D7" s="2">
        <v>4</v>
      </c>
    </row>
    <row r="9" spans="4:15" x14ac:dyDescent="0.35">
      <c r="G9" t="s">
        <v>16</v>
      </c>
      <c r="L9" t="s">
        <v>17</v>
      </c>
    </row>
    <row r="10" spans="4:15" x14ac:dyDescent="0.35">
      <c r="E10">
        <v>6</v>
      </c>
      <c r="H10" s="1">
        <v>7</v>
      </c>
      <c r="K10">
        <v>9</v>
      </c>
      <c r="L10" s="7">
        <v>16</v>
      </c>
      <c r="O10">
        <v>11</v>
      </c>
    </row>
    <row r="14" spans="4:15" x14ac:dyDescent="0.35">
      <c r="D14" s="2">
        <v>5</v>
      </c>
      <c r="I14">
        <v>8</v>
      </c>
    </row>
    <row r="15" spans="4:15" x14ac:dyDescent="0.35">
      <c r="N15" s="2">
        <v>10</v>
      </c>
    </row>
    <row r="16" spans="4:15" x14ac:dyDescent="0.35">
      <c r="I16" s="3" t="s">
        <v>18</v>
      </c>
    </row>
    <row r="19" spans="9:14" x14ac:dyDescent="0.35">
      <c r="I19">
        <v>17</v>
      </c>
    </row>
    <row r="21" spans="9:14" x14ac:dyDescent="0.35">
      <c r="K21" s="2">
        <v>15</v>
      </c>
    </row>
    <row r="24" spans="9:14" x14ac:dyDescent="0.35">
      <c r="N24" s="2"/>
    </row>
    <row r="26" spans="9:14" x14ac:dyDescent="0.35">
      <c r="I26">
        <v>14</v>
      </c>
    </row>
    <row r="29" spans="9:14" x14ac:dyDescent="0.35">
      <c r="L29">
        <v>13</v>
      </c>
    </row>
    <row r="34" spans="4:18" x14ac:dyDescent="0.35">
      <c r="M34">
        <v>12</v>
      </c>
    </row>
    <row r="43" spans="4:18" ht="16" x14ac:dyDescent="0.35">
      <c r="D43" s="8"/>
      <c r="E43" s="9">
        <v>4</v>
      </c>
      <c r="F43" s="9">
        <v>5</v>
      </c>
      <c r="G43" s="9">
        <v>6</v>
      </c>
      <c r="H43" s="9">
        <v>7</v>
      </c>
      <c r="I43" s="9">
        <v>8</v>
      </c>
      <c r="J43" s="9">
        <v>9</v>
      </c>
      <c r="K43" s="9">
        <v>10</v>
      </c>
      <c r="L43" s="9">
        <v>11</v>
      </c>
      <c r="M43" s="9">
        <v>12</v>
      </c>
      <c r="N43" s="9">
        <v>13</v>
      </c>
      <c r="O43" s="9">
        <v>14</v>
      </c>
      <c r="P43" s="9">
        <v>15</v>
      </c>
      <c r="Q43" s="9">
        <v>16</v>
      </c>
      <c r="R43" s="9">
        <v>17</v>
      </c>
    </row>
    <row r="44" spans="4:18" x14ac:dyDescent="0.35">
      <c r="D44" s="10" t="s">
        <v>0</v>
      </c>
      <c r="E44" s="22">
        <v>1</v>
      </c>
      <c r="F44" s="15">
        <v>-1</v>
      </c>
      <c r="G44" s="15">
        <v>-1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6">
        <v>0</v>
      </c>
    </row>
    <row r="45" spans="4:18" x14ac:dyDescent="0.35">
      <c r="D45" s="10" t="s">
        <v>4</v>
      </c>
      <c r="E45" s="10">
        <v>0</v>
      </c>
      <c r="F45" s="3">
        <v>0</v>
      </c>
      <c r="G45" s="3">
        <v>1</v>
      </c>
      <c r="H45" s="3">
        <v>-1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0</v>
      </c>
      <c r="P45" s="3">
        <v>0</v>
      </c>
      <c r="Q45" s="3">
        <v>0</v>
      </c>
      <c r="R45" s="11">
        <v>0</v>
      </c>
    </row>
    <row r="46" spans="4:18" x14ac:dyDescent="0.35">
      <c r="D46" s="10" t="s">
        <v>13</v>
      </c>
      <c r="E46" s="10">
        <v>0</v>
      </c>
      <c r="F46" s="3">
        <v>0</v>
      </c>
      <c r="G46" s="3">
        <v>0</v>
      </c>
      <c r="H46" s="3">
        <v>1</v>
      </c>
      <c r="I46" s="3">
        <v>-1</v>
      </c>
      <c r="J46" s="3">
        <v>-1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11">
        <v>0</v>
      </c>
    </row>
    <row r="47" spans="4:18" x14ac:dyDescent="0.35">
      <c r="D47" s="10" t="s">
        <v>5</v>
      </c>
      <c r="E47" s="10">
        <v>0</v>
      </c>
      <c r="F47" s="3">
        <v>0</v>
      </c>
      <c r="G47" s="3">
        <v>0</v>
      </c>
      <c r="H47" s="3">
        <v>0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-1</v>
      </c>
      <c r="R47" s="11">
        <v>0</v>
      </c>
    </row>
    <row r="48" spans="4:18" x14ac:dyDescent="0.35">
      <c r="D48" s="10" t="s">
        <v>14</v>
      </c>
      <c r="E48" s="10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-1</v>
      </c>
      <c r="P48" s="3">
        <v>-1</v>
      </c>
      <c r="Q48" s="3">
        <v>0</v>
      </c>
      <c r="R48" s="11">
        <v>1</v>
      </c>
    </row>
    <row r="49" spans="4:18" x14ac:dyDescent="0.35">
      <c r="D49" s="10" t="s">
        <v>15</v>
      </c>
      <c r="E49" s="10">
        <v>0</v>
      </c>
      <c r="F49" s="10">
        <v>0</v>
      </c>
      <c r="G49" s="10">
        <v>0</v>
      </c>
      <c r="H49" s="10">
        <v>0</v>
      </c>
      <c r="I49" s="10">
        <v>1</v>
      </c>
      <c r="J49" s="10">
        <v>0</v>
      </c>
      <c r="K49" s="10">
        <v>0</v>
      </c>
      <c r="L49" s="10">
        <v>0</v>
      </c>
      <c r="M49" s="10">
        <v>1</v>
      </c>
      <c r="N49" s="10">
        <v>0</v>
      </c>
      <c r="O49" s="10">
        <v>0</v>
      </c>
      <c r="P49" s="10">
        <v>0</v>
      </c>
      <c r="Q49" s="10">
        <v>0</v>
      </c>
      <c r="R49" s="10">
        <v>-1</v>
      </c>
    </row>
    <row r="50" spans="4:18" x14ac:dyDescent="0.35">
      <c r="D50" s="10" t="s">
        <v>2</v>
      </c>
      <c r="E50" s="10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-1</v>
      </c>
      <c r="L50" s="3">
        <v>-1</v>
      </c>
      <c r="M50" s="3">
        <v>0</v>
      </c>
      <c r="N50" s="3">
        <v>0</v>
      </c>
      <c r="O50" s="3">
        <v>0</v>
      </c>
      <c r="P50" s="3">
        <v>0</v>
      </c>
      <c r="Q50" s="3">
        <v>1</v>
      </c>
      <c r="R50" s="11">
        <v>0</v>
      </c>
    </row>
    <row r="51" spans="4:18" x14ac:dyDescent="0.35">
      <c r="D51" s="12" t="s">
        <v>3</v>
      </c>
      <c r="E51" s="12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1</v>
      </c>
      <c r="L51" s="13">
        <v>0</v>
      </c>
      <c r="M51" s="13">
        <v>-1</v>
      </c>
      <c r="N51" s="13">
        <v>-1</v>
      </c>
      <c r="O51" s="13">
        <v>0</v>
      </c>
      <c r="P51" s="13">
        <v>0</v>
      </c>
      <c r="Q51" s="13">
        <v>0</v>
      </c>
      <c r="R51" s="14">
        <v>0</v>
      </c>
    </row>
    <row r="52" spans="4:18" x14ac:dyDescent="0.35">
      <c r="E52" s="3">
        <f t="shared" ref="E52:R52" si="0">SUM(E44:E51)</f>
        <v>1</v>
      </c>
      <c r="F52" s="3">
        <f t="shared" si="0"/>
        <v>-1</v>
      </c>
      <c r="G52" s="3">
        <f t="shared" si="0"/>
        <v>0</v>
      </c>
      <c r="H52" s="3">
        <f t="shared" si="0"/>
        <v>0</v>
      </c>
      <c r="I52" s="3">
        <f t="shared" si="0"/>
        <v>0</v>
      </c>
      <c r="J52" s="3">
        <f t="shared" si="0"/>
        <v>0</v>
      </c>
      <c r="K52" s="3">
        <f t="shared" si="0"/>
        <v>0</v>
      </c>
      <c r="L52" s="3">
        <f t="shared" si="0"/>
        <v>-1</v>
      </c>
      <c r="M52" s="3">
        <f t="shared" si="0"/>
        <v>0</v>
      </c>
      <c r="N52" s="3">
        <f t="shared" si="0"/>
        <v>0</v>
      </c>
      <c r="O52" s="3">
        <f t="shared" si="0"/>
        <v>-1</v>
      </c>
      <c r="P52" s="3">
        <f t="shared" si="0"/>
        <v>0</v>
      </c>
      <c r="Q52" s="3">
        <f t="shared" si="0"/>
        <v>0</v>
      </c>
      <c r="R52" s="3">
        <f t="shared" si="0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E922-3644-4730-B988-7BBD5E3AC927}">
  <dimension ref="D5:O50"/>
  <sheetViews>
    <sheetView showGridLines="0" topLeftCell="A7" zoomScale="70" zoomScaleNormal="70" workbookViewId="0">
      <selection activeCell="I54" sqref="I54"/>
    </sheetView>
  </sheetViews>
  <sheetFormatPr baseColWidth="10" defaultRowHeight="14.5" x14ac:dyDescent="0.35"/>
  <cols>
    <col min="4" max="4" width="12.1796875" bestFit="1" customWidth="1"/>
  </cols>
  <sheetData>
    <row r="5" spans="4:15" x14ac:dyDescent="0.35">
      <c r="D5">
        <v>4</v>
      </c>
    </row>
    <row r="10" spans="4:15" x14ac:dyDescent="0.35">
      <c r="E10">
        <v>6</v>
      </c>
      <c r="H10" s="1">
        <v>7</v>
      </c>
      <c r="L10" s="2">
        <v>9</v>
      </c>
      <c r="O10">
        <v>11</v>
      </c>
    </row>
    <row r="14" spans="4:15" x14ac:dyDescent="0.35">
      <c r="D14" s="2">
        <v>5</v>
      </c>
    </row>
    <row r="15" spans="4:15" x14ac:dyDescent="0.35">
      <c r="N15" s="2">
        <v>10</v>
      </c>
    </row>
    <row r="16" spans="4:15" x14ac:dyDescent="0.35">
      <c r="I16">
        <v>8</v>
      </c>
    </row>
    <row r="24" spans="12:14" x14ac:dyDescent="0.35">
      <c r="N24" s="2">
        <v>14</v>
      </c>
    </row>
    <row r="29" spans="12:14" x14ac:dyDescent="0.35">
      <c r="L29">
        <v>13</v>
      </c>
    </row>
    <row r="34" spans="4:15" x14ac:dyDescent="0.35">
      <c r="M34">
        <v>12</v>
      </c>
    </row>
    <row r="43" spans="4:15" ht="16" x14ac:dyDescent="0.35">
      <c r="E43" s="4">
        <v>4</v>
      </c>
      <c r="F43" s="4">
        <v>5</v>
      </c>
      <c r="G43" s="4">
        <v>6</v>
      </c>
      <c r="H43" s="4">
        <v>7</v>
      </c>
      <c r="I43" s="4">
        <v>8</v>
      </c>
      <c r="J43" s="4">
        <v>9</v>
      </c>
      <c r="K43" s="4">
        <v>10</v>
      </c>
      <c r="L43" s="4">
        <v>11</v>
      </c>
      <c r="M43" s="4">
        <v>12</v>
      </c>
      <c r="N43" s="4">
        <v>13</v>
      </c>
      <c r="O43" s="4">
        <v>14</v>
      </c>
    </row>
    <row r="44" spans="4:15" x14ac:dyDescent="0.35">
      <c r="D44" s="3" t="s">
        <v>0</v>
      </c>
      <c r="E44" s="3">
        <v>1</v>
      </c>
      <c r="F44" s="3">
        <v>-1</v>
      </c>
      <c r="G44" s="3">
        <v>-1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4:15" x14ac:dyDescent="0.35">
      <c r="D45" s="3" t="s">
        <v>4</v>
      </c>
      <c r="E45" s="3">
        <v>0</v>
      </c>
      <c r="F45" s="3">
        <v>0</v>
      </c>
      <c r="G45" s="3">
        <v>1</v>
      </c>
      <c r="H45" s="3">
        <v>-1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0</v>
      </c>
    </row>
    <row r="46" spans="4:15" x14ac:dyDescent="0.35">
      <c r="D46" s="3" t="s">
        <v>1</v>
      </c>
      <c r="E46" s="3">
        <v>0</v>
      </c>
      <c r="F46" s="3">
        <v>0</v>
      </c>
      <c r="G46" s="3">
        <v>0</v>
      </c>
      <c r="H46" s="3">
        <v>1</v>
      </c>
      <c r="I46" s="3">
        <v>-1</v>
      </c>
      <c r="J46" s="3">
        <v>-1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4:15" x14ac:dyDescent="0.35">
      <c r="D47" s="3" t="s">
        <v>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1</v>
      </c>
      <c r="K47" s="3">
        <v>-1</v>
      </c>
      <c r="L47" s="3">
        <v>-1</v>
      </c>
      <c r="M47" s="3">
        <v>0</v>
      </c>
      <c r="N47" s="3">
        <v>0</v>
      </c>
      <c r="O47" s="3">
        <v>0</v>
      </c>
    </row>
    <row r="48" spans="4:15" x14ac:dyDescent="0.35">
      <c r="D48" s="3" t="s">
        <v>5</v>
      </c>
      <c r="E48" s="3">
        <v>0</v>
      </c>
      <c r="F48" s="3">
        <v>0</v>
      </c>
      <c r="G48" s="3">
        <v>0</v>
      </c>
      <c r="H48" s="3">
        <v>0</v>
      </c>
      <c r="I48" s="3">
        <v>1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  <c r="O48" s="3">
        <v>-1</v>
      </c>
    </row>
    <row r="49" spans="4:15" x14ac:dyDescent="0.35">
      <c r="D49" s="3" t="s">
        <v>3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-1</v>
      </c>
      <c r="N49" s="3">
        <v>-1</v>
      </c>
      <c r="O49" s="3">
        <v>1</v>
      </c>
    </row>
    <row r="50" spans="4:15" x14ac:dyDescent="0.35">
      <c r="E50">
        <f t="shared" ref="E50:O50" si="0">SUM(E44:E49)</f>
        <v>1</v>
      </c>
      <c r="F50">
        <f t="shared" si="0"/>
        <v>-1</v>
      </c>
      <c r="G50">
        <f t="shared" si="0"/>
        <v>0</v>
      </c>
      <c r="H50">
        <f t="shared" si="0"/>
        <v>0</v>
      </c>
      <c r="I50">
        <f t="shared" si="0"/>
        <v>0</v>
      </c>
      <c r="J50">
        <f t="shared" si="0"/>
        <v>0</v>
      </c>
      <c r="K50">
        <f t="shared" si="0"/>
        <v>0</v>
      </c>
      <c r="L50">
        <f t="shared" si="0"/>
        <v>-1</v>
      </c>
      <c r="M50">
        <f t="shared" si="0"/>
        <v>-1</v>
      </c>
      <c r="N50">
        <f t="shared" si="0"/>
        <v>0</v>
      </c>
      <c r="O50">
        <f t="shared" si="0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AB4F-36B4-449A-A223-61FD9DAA5445}">
  <dimension ref="D5:O42"/>
  <sheetViews>
    <sheetView showGridLines="0" topLeftCell="A13" zoomScale="70" zoomScaleNormal="70" workbookViewId="0">
      <selection activeCell="J59" sqref="J59"/>
    </sheetView>
  </sheetViews>
  <sheetFormatPr baseColWidth="10" defaultRowHeight="14.5" x14ac:dyDescent="0.35"/>
  <cols>
    <col min="4" max="4" width="12.1796875" bestFit="1" customWidth="1"/>
  </cols>
  <sheetData>
    <row r="5" spans="4:15" x14ac:dyDescent="0.35">
      <c r="D5">
        <v>4</v>
      </c>
    </row>
    <row r="10" spans="4:15" x14ac:dyDescent="0.35">
      <c r="E10">
        <v>6</v>
      </c>
      <c r="J10" s="1">
        <v>7</v>
      </c>
      <c r="L10" s="2"/>
      <c r="O10">
        <v>9</v>
      </c>
    </row>
    <row r="14" spans="4:15" x14ac:dyDescent="0.35">
      <c r="D14" s="2">
        <v>5</v>
      </c>
      <c r="M14">
        <v>8</v>
      </c>
    </row>
    <row r="15" spans="4:15" x14ac:dyDescent="0.35">
      <c r="N15" s="2"/>
    </row>
    <row r="23" spans="12:13" x14ac:dyDescent="0.35">
      <c r="L23">
        <v>11</v>
      </c>
    </row>
    <row r="28" spans="12:13" x14ac:dyDescent="0.35">
      <c r="M28">
        <v>10</v>
      </c>
    </row>
    <row r="37" spans="4:12" ht="16" x14ac:dyDescent="0.35"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</row>
    <row r="38" spans="4:12" x14ac:dyDescent="0.35">
      <c r="D38" s="3" t="s">
        <v>0</v>
      </c>
      <c r="E38" s="3">
        <v>1</v>
      </c>
      <c r="F38" s="3">
        <v>-1</v>
      </c>
      <c r="G38" s="3">
        <v>-1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4:12" x14ac:dyDescent="0.35">
      <c r="D39" s="3" t="s">
        <v>4</v>
      </c>
      <c r="E39" s="3">
        <v>0</v>
      </c>
      <c r="F39" s="3">
        <v>0</v>
      </c>
      <c r="G39" s="3">
        <v>1</v>
      </c>
      <c r="H39" s="3">
        <v>-1</v>
      </c>
      <c r="I39" s="3">
        <v>0</v>
      </c>
      <c r="J39" s="3">
        <v>0</v>
      </c>
      <c r="K39" s="3">
        <v>0</v>
      </c>
      <c r="L39" s="3">
        <v>1</v>
      </c>
    </row>
    <row r="40" spans="4:12" x14ac:dyDescent="0.35">
      <c r="D40" s="3" t="s">
        <v>19</v>
      </c>
      <c r="E40" s="3">
        <v>0</v>
      </c>
      <c r="F40" s="3">
        <v>0</v>
      </c>
      <c r="G40" s="3">
        <v>0</v>
      </c>
      <c r="H40" s="3">
        <v>1</v>
      </c>
      <c r="I40" s="3">
        <v>-1</v>
      </c>
      <c r="J40" s="3">
        <v>-1</v>
      </c>
      <c r="K40" s="3">
        <v>0</v>
      </c>
      <c r="L40" s="3">
        <v>0</v>
      </c>
    </row>
    <row r="41" spans="4:12" x14ac:dyDescent="0.35">
      <c r="D41" s="3" t="s">
        <v>3</v>
      </c>
      <c r="E41" s="3">
        <v>0</v>
      </c>
      <c r="F41" s="3">
        <v>0</v>
      </c>
      <c r="G41" s="3">
        <v>0</v>
      </c>
      <c r="H41" s="3">
        <v>0</v>
      </c>
      <c r="I41" s="3">
        <v>1</v>
      </c>
      <c r="J41" s="3">
        <v>0</v>
      </c>
      <c r="K41" s="3">
        <v>-1</v>
      </c>
      <c r="L41" s="3">
        <v>-1</v>
      </c>
    </row>
    <row r="42" spans="4:12" x14ac:dyDescent="0.35">
      <c r="E42" s="3">
        <f t="shared" ref="E42:L42" si="0">SUM(E38:E41)</f>
        <v>1</v>
      </c>
      <c r="F42" s="3">
        <f t="shared" si="0"/>
        <v>-1</v>
      </c>
      <c r="G42" s="3">
        <f t="shared" si="0"/>
        <v>0</v>
      </c>
      <c r="H42" s="3">
        <f t="shared" si="0"/>
        <v>0</v>
      </c>
      <c r="I42" s="3">
        <f t="shared" si="0"/>
        <v>0</v>
      </c>
      <c r="J42" s="3">
        <f t="shared" si="0"/>
        <v>-1</v>
      </c>
      <c r="K42" s="3">
        <f t="shared" si="0"/>
        <v>-1</v>
      </c>
      <c r="L42" s="3">
        <f t="shared" si="0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2F15-F430-4F25-8D59-07F606304AFF}">
  <dimension ref="D5:O42"/>
  <sheetViews>
    <sheetView showGridLines="0" zoomScale="70" zoomScaleNormal="70" workbookViewId="0">
      <selection activeCell="S29" sqref="S29"/>
    </sheetView>
  </sheetViews>
  <sheetFormatPr baseColWidth="10" defaultRowHeight="14.5" x14ac:dyDescent="0.35"/>
  <cols>
    <col min="4" max="4" width="12.1796875" bestFit="1" customWidth="1"/>
  </cols>
  <sheetData>
    <row r="5" spans="4:15" x14ac:dyDescent="0.35">
      <c r="D5" s="2">
        <v>4</v>
      </c>
    </row>
    <row r="10" spans="4:15" x14ac:dyDescent="0.35">
      <c r="E10">
        <v>6</v>
      </c>
      <c r="J10" s="1">
        <v>7</v>
      </c>
      <c r="L10" s="2"/>
      <c r="O10">
        <v>9</v>
      </c>
    </row>
    <row r="14" spans="4:15" x14ac:dyDescent="0.35">
      <c r="D14" s="2">
        <v>5</v>
      </c>
      <c r="M14">
        <v>8</v>
      </c>
    </row>
    <row r="15" spans="4:15" x14ac:dyDescent="0.35">
      <c r="N15" s="2"/>
    </row>
    <row r="23" spans="12:13" x14ac:dyDescent="0.35">
      <c r="L23">
        <v>11</v>
      </c>
    </row>
    <row r="28" spans="12:13" x14ac:dyDescent="0.35">
      <c r="M28">
        <v>10</v>
      </c>
    </row>
    <row r="37" spans="4:12" ht="16" x14ac:dyDescent="0.35"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</row>
    <row r="38" spans="4:12" x14ac:dyDescent="0.35">
      <c r="D38" s="39" t="s">
        <v>19</v>
      </c>
      <c r="E38" s="3">
        <v>1</v>
      </c>
      <c r="F38" s="3">
        <v>-1</v>
      </c>
      <c r="G38" s="3">
        <v>-1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4:12" x14ac:dyDescent="0.35">
      <c r="D39" s="39" t="s">
        <v>4</v>
      </c>
      <c r="E39" s="3">
        <v>0</v>
      </c>
      <c r="F39" s="3">
        <v>0</v>
      </c>
      <c r="G39" s="3">
        <v>1</v>
      </c>
      <c r="H39" s="3">
        <v>-1</v>
      </c>
      <c r="I39" s="3">
        <v>0</v>
      </c>
      <c r="J39" s="3">
        <v>0</v>
      </c>
      <c r="K39" s="3">
        <v>0</v>
      </c>
      <c r="L39" s="3">
        <v>1</v>
      </c>
    </row>
    <row r="40" spans="4:12" x14ac:dyDescent="0.35">
      <c r="D40" s="2" t="s">
        <v>2</v>
      </c>
      <c r="E40" s="3">
        <v>0</v>
      </c>
      <c r="F40" s="3">
        <v>0</v>
      </c>
      <c r="G40" s="3">
        <v>0</v>
      </c>
      <c r="H40" s="3">
        <v>1</v>
      </c>
      <c r="I40" s="3">
        <v>-1</v>
      </c>
      <c r="J40" s="3">
        <v>-1</v>
      </c>
      <c r="K40" s="3">
        <v>0</v>
      </c>
      <c r="L40" s="3">
        <v>0</v>
      </c>
    </row>
    <row r="41" spans="4:12" x14ac:dyDescent="0.35">
      <c r="D41" s="39" t="s">
        <v>3</v>
      </c>
      <c r="E41" s="3">
        <v>0</v>
      </c>
      <c r="F41" s="3">
        <v>0</v>
      </c>
      <c r="G41" s="3">
        <v>0</v>
      </c>
      <c r="H41" s="3">
        <v>0</v>
      </c>
      <c r="I41" s="3">
        <v>1</v>
      </c>
      <c r="J41" s="3">
        <v>0</v>
      </c>
      <c r="K41" s="3">
        <v>-1</v>
      </c>
      <c r="L41" s="3">
        <v>-1</v>
      </c>
    </row>
    <row r="42" spans="4:12" x14ac:dyDescent="0.35">
      <c r="E42" s="3">
        <f t="shared" ref="E42:L42" si="0">SUM(E38:E41)</f>
        <v>1</v>
      </c>
      <c r="F42" s="3">
        <f t="shared" si="0"/>
        <v>-1</v>
      </c>
      <c r="G42" s="3">
        <f t="shared" si="0"/>
        <v>0</v>
      </c>
      <c r="H42" s="3">
        <f t="shared" si="0"/>
        <v>0</v>
      </c>
      <c r="I42" s="3">
        <f t="shared" si="0"/>
        <v>0</v>
      </c>
      <c r="J42" s="3">
        <f t="shared" si="0"/>
        <v>-1</v>
      </c>
      <c r="K42" s="3">
        <f t="shared" si="0"/>
        <v>-1</v>
      </c>
      <c r="L42" s="3">
        <f t="shared" si="0"/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9700-207C-4035-B7F8-754880C57942}">
  <dimension ref="A1:K6"/>
  <sheetViews>
    <sheetView workbookViewId="0">
      <selection activeCell="J6" sqref="J6:K6"/>
    </sheetView>
  </sheetViews>
  <sheetFormatPr baseColWidth="10" defaultRowHeight="14.5" x14ac:dyDescent="0.35"/>
  <cols>
    <col min="7" max="11" width="10.90625" style="3"/>
  </cols>
  <sheetData>
    <row r="1" spans="1:11" ht="15" thickBot="1" x14ac:dyDescent="0.4">
      <c r="B1" t="s">
        <v>20</v>
      </c>
      <c r="D1" t="s">
        <v>21</v>
      </c>
      <c r="E1" t="s">
        <v>22</v>
      </c>
      <c r="F1" t="s">
        <v>23</v>
      </c>
      <c r="H1" s="3" t="s">
        <v>27</v>
      </c>
      <c r="I1" s="3" t="s">
        <v>28</v>
      </c>
      <c r="J1" s="3" t="s">
        <v>27</v>
      </c>
      <c r="K1" s="3" t="s">
        <v>28</v>
      </c>
    </row>
    <row r="2" spans="1:11" x14ac:dyDescent="0.35">
      <c r="A2" t="s">
        <v>24</v>
      </c>
      <c r="B2">
        <v>23.816874310905472</v>
      </c>
      <c r="D2">
        <v>7.7580117123518981</v>
      </c>
      <c r="E2">
        <v>0.42646645246768533</v>
      </c>
      <c r="F2">
        <v>2.0689375791045217</v>
      </c>
      <c r="G2" s="40" t="s">
        <v>20</v>
      </c>
      <c r="H2" s="41">
        <v>56.174480271146265</v>
      </c>
      <c r="I2" s="41">
        <v>23.816874310905472</v>
      </c>
      <c r="J2" s="42">
        <f>I2/100</f>
        <v>0.23816874310905473</v>
      </c>
      <c r="K2" s="41">
        <f>H2/100</f>
        <v>0.56174480271146265</v>
      </c>
    </row>
    <row r="3" spans="1:11" x14ac:dyDescent="0.35">
      <c r="A3" t="s">
        <v>25</v>
      </c>
      <c r="B3">
        <v>56.174480271146265</v>
      </c>
      <c r="D3">
        <v>76.741473567826063</v>
      </c>
      <c r="E3">
        <v>85.542622497111324</v>
      </c>
      <c r="F3">
        <v>38.284324802763216</v>
      </c>
      <c r="G3" s="43"/>
      <c r="H3" s="51"/>
      <c r="I3" s="51"/>
      <c r="J3" s="44"/>
      <c r="K3" s="44"/>
    </row>
    <row r="4" spans="1:11" x14ac:dyDescent="0.35">
      <c r="A4" t="s">
        <v>26</v>
      </c>
      <c r="B4">
        <v>8.6962397296436809</v>
      </c>
      <c r="D4">
        <v>10.689562499431139</v>
      </c>
      <c r="E4">
        <v>56.44921302843747</v>
      </c>
      <c r="F4">
        <v>7.8914803175558808</v>
      </c>
      <c r="G4" s="45" t="s">
        <v>21</v>
      </c>
      <c r="H4" s="46">
        <v>76.741473567826063</v>
      </c>
      <c r="I4" s="46">
        <v>7.7580117123518981</v>
      </c>
      <c r="J4" s="47">
        <f>I4/100</f>
        <v>7.7580117123518977E-2</v>
      </c>
      <c r="K4" s="46">
        <f>H4/100</f>
        <v>0.76741473567826057</v>
      </c>
    </row>
    <row r="5" spans="1:11" x14ac:dyDescent="0.35">
      <c r="G5" s="45" t="s">
        <v>22</v>
      </c>
      <c r="H5" s="46">
        <v>85.542622497111324</v>
      </c>
      <c r="I5" s="46">
        <v>0.42646645246768533</v>
      </c>
      <c r="J5" s="47">
        <f>I5/100</f>
        <v>4.2646645246768537E-3</v>
      </c>
      <c r="K5" s="46">
        <f>H5/100</f>
        <v>0.8554262249711132</v>
      </c>
    </row>
    <row r="6" spans="1:11" ht="15" thickBot="1" x14ac:dyDescent="0.4">
      <c r="G6" s="48" t="s">
        <v>23</v>
      </c>
      <c r="H6" s="49">
        <v>38.284324802763216</v>
      </c>
      <c r="I6" s="49">
        <v>2.0689375791045217</v>
      </c>
      <c r="J6" s="50">
        <f>I6/100</f>
        <v>2.0689375791045218E-2</v>
      </c>
      <c r="K6" s="49">
        <f>H6/100</f>
        <v>0.38284324802763214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Sheet1 (2)</vt:lpstr>
      <vt:lpstr>Sheet1</vt:lpstr>
      <vt:lpstr>Caso 1</vt:lpstr>
      <vt:lpstr>Caso 1 EMp</vt:lpstr>
      <vt:lpstr>Caso 2</vt:lpstr>
      <vt:lpstr>Caso 3</vt:lpstr>
      <vt:lpstr>Caso 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Rojas</cp:lastModifiedBy>
  <dcterms:created xsi:type="dcterms:W3CDTF">2015-06-05T18:17:20Z</dcterms:created>
  <dcterms:modified xsi:type="dcterms:W3CDTF">2026-01-09T16:02:11Z</dcterms:modified>
</cp:coreProperties>
</file>