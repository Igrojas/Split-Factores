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roj\OneDrive\Documentos\DEV\Split-Factores\Sims caso base\"/>
    </mc:Choice>
  </mc:AlternateContent>
  <xr:revisionPtr revIDLastSave="0" documentId="13_ncr:1_{233D0EEA-0548-42A4-BDF6-3A7589E7432D}" xr6:coauthVersionLast="47" xr6:coauthVersionMax="47" xr10:uidLastSave="{00000000-0000-0000-0000-000000000000}"/>
  <bookViews>
    <workbookView xWindow="-120" yWindow="-120" windowWidth="29040" windowHeight="15720" xr2:uid="{ACBA9592-645B-4FAE-B6E8-E19D54F106C1}"/>
  </bookViews>
  <sheets>
    <sheet name="Hoja1" sheetId="1" r:id="rId1"/>
    <sheet name="Hoja2" sheetId="2" r:id="rId2"/>
  </sheets>
  <definedNames>
    <definedName name="_xlnm._FilterDatabase" localSheetId="0" hidden="1">Hoja1!$A$1:$L$5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7" i="2"/>
  <c r="E26" i="2"/>
  <c r="E25" i="2"/>
  <c r="E24" i="2"/>
  <c r="E23" i="2"/>
  <c r="E22" i="2"/>
  <c r="C28" i="2"/>
  <c r="D28" i="2"/>
  <c r="C23" i="2"/>
  <c r="D23" i="2"/>
  <c r="C24" i="2"/>
  <c r="D24" i="2"/>
  <c r="C25" i="2"/>
  <c r="D25" i="2"/>
  <c r="C26" i="2"/>
  <c r="D26" i="2"/>
  <c r="C27" i="2"/>
  <c r="D27" i="2"/>
  <c r="D22" i="2"/>
  <c r="C22" i="2"/>
  <c r="B10" i="2"/>
  <c r="G2" i="2"/>
  <c r="G3" i="2" s="1"/>
  <c r="G4" i="2" s="1"/>
  <c r="G5" i="2" s="1"/>
  <c r="G6" i="2" s="1"/>
  <c r="G7" i="2" s="1"/>
  <c r="D9" i="2"/>
  <c r="D8" i="2"/>
  <c r="D7" i="2"/>
  <c r="D6" i="2"/>
  <c r="D5" i="2"/>
  <c r="D4" i="2"/>
  <c r="D3" i="2"/>
  <c r="D2" i="2"/>
  <c r="F2" i="2" s="1"/>
  <c r="G5" i="1"/>
  <c r="H5" i="1" s="1"/>
  <c r="G3" i="1"/>
  <c r="H3" i="1" s="1"/>
  <c r="G2" i="1"/>
  <c r="H2" i="1" s="1"/>
  <c r="G4" i="1"/>
  <c r="H4" i="1" s="1"/>
  <c r="H2" i="2" l="1"/>
  <c r="F3" i="2"/>
  <c r="G12" i="2"/>
  <c r="G8" i="2"/>
  <c r="D10" i="2"/>
  <c r="C10" i="2" s="1"/>
  <c r="G13" i="2" l="1"/>
  <c r="G9" i="2"/>
  <c r="F4" i="2"/>
  <c r="H3" i="2"/>
  <c r="F5" i="2" l="1"/>
  <c r="H4" i="2"/>
  <c r="H5" i="2" l="1"/>
  <c r="F6" i="2"/>
  <c r="H6" i="2" l="1"/>
  <c r="F7" i="2"/>
  <c r="H7" i="2" l="1"/>
  <c r="H12" i="2" s="1"/>
  <c r="F12" i="2"/>
  <c r="F8" i="2"/>
  <c r="F13" i="2" l="1"/>
  <c r="H8" i="2"/>
  <c r="H13" i="2" s="1"/>
  <c r="F9" i="2"/>
  <c r="H9" i="2" s="1"/>
</calcChain>
</file>

<file path=xl/sharedStrings.xml><?xml version="1.0" encoding="utf-8"?>
<sst xmlns="http://schemas.openxmlformats.org/spreadsheetml/2006/main" count="157" uniqueCount="78">
  <si>
    <t>Equipo</t>
  </si>
  <si>
    <t>Rec CuF</t>
  </si>
  <si>
    <t>Rec Másica</t>
  </si>
  <si>
    <t>Ley de Alim.</t>
  </si>
  <si>
    <t>Pre Cl Scv</t>
  </si>
  <si>
    <t>Descripción Cliente</t>
  </si>
  <si>
    <t>Ubicación</t>
  </si>
  <si>
    <t>colas 1l</t>
  </si>
  <si>
    <t>RE</t>
  </si>
  <si>
    <t>Selectiva</t>
  </si>
  <si>
    <t>Comportamiento</t>
  </si>
  <si>
    <t>Ley Conc</t>
  </si>
  <si>
    <t>Bal Pre-Cl-SCV Sept</t>
  </si>
  <si>
    <t>Hoja Fuente</t>
  </si>
  <si>
    <t>Archivo</t>
  </si>
  <si>
    <t>2026-01-09 EM-S186-PR-BD-001 Base de datos consolidada</t>
  </si>
  <si>
    <t>Jameson</t>
  </si>
  <si>
    <t>Colas 1l</t>
  </si>
  <si>
    <t>Bal Pre-Cl-SCV Nov</t>
  </si>
  <si>
    <t>Bal Pre-Cl-SCV Dic</t>
  </si>
  <si>
    <t>Balance</t>
  </si>
  <si>
    <t>Ok</t>
  </si>
  <si>
    <t>Pre Cl Ro</t>
  </si>
  <si>
    <t>23. Balance Pre-Cl (2)</t>
  </si>
  <si>
    <t>Conc Ro</t>
  </si>
  <si>
    <t>Recuperadora</t>
  </si>
  <si>
    <t>Masa seca, gr</t>
  </si>
  <si>
    <t>Ley, Cu%</t>
  </si>
  <si>
    <t>C1</t>
  </si>
  <si>
    <t>C2</t>
  </si>
  <si>
    <t>C3</t>
  </si>
  <si>
    <t>C4</t>
  </si>
  <si>
    <t>C5</t>
  </si>
  <si>
    <t>Cola 3</t>
  </si>
  <si>
    <t>Cola 2</t>
  </si>
  <si>
    <t>Cola 1</t>
  </si>
  <si>
    <t>Alim</t>
  </si>
  <si>
    <t>CuF</t>
  </si>
  <si>
    <t>CuF Acum</t>
  </si>
  <si>
    <t>Masa Acum</t>
  </si>
  <si>
    <t>Ley Acum</t>
  </si>
  <si>
    <t>C6</t>
  </si>
  <si>
    <t>C7</t>
  </si>
  <si>
    <t>SF masa</t>
  </si>
  <si>
    <t>SF cuf</t>
  </si>
  <si>
    <t>Masa</t>
  </si>
  <si>
    <t>cuf</t>
  </si>
  <si>
    <t>Pre-Cleaner Planta Piloto Compósito Global Futuro</t>
  </si>
  <si>
    <t>T. Dilución</t>
  </si>
  <si>
    <t>Tiempo, min</t>
  </si>
  <si>
    <t>Tiempo acumulado, min</t>
  </si>
  <si>
    <t>Masa húmeda, gr</t>
  </si>
  <si>
    <t>Cp, %</t>
  </si>
  <si>
    <t>Masa acumulada, gr</t>
  </si>
  <si>
    <t>Ley acumulada, Cu%</t>
  </si>
  <si>
    <t>Recuperación, Cu%</t>
  </si>
  <si>
    <t>Mass Pull, %</t>
  </si>
  <si>
    <t>Mass Pull acumulado, %</t>
  </si>
  <si>
    <t>Ley, Fe%</t>
  </si>
  <si>
    <t>Ley acumulada, Fe%</t>
  </si>
  <si>
    <t>Recuperación, Fe%</t>
  </si>
  <si>
    <t>Concentrado 1</t>
  </si>
  <si>
    <t>Concentrado 2</t>
  </si>
  <si>
    <t>Concentrado 3</t>
  </si>
  <si>
    <t>Concentrado 4</t>
  </si>
  <si>
    <t>Concentrado 5</t>
  </si>
  <si>
    <t>Relave Stage 3</t>
  </si>
  <si>
    <t>Relave Stage 2</t>
  </si>
  <si>
    <t>Relave Stage 1</t>
  </si>
  <si>
    <t>Alimentación</t>
  </si>
  <si>
    <t>Cabeza Medida</t>
  </si>
  <si>
    <t>Cabeza Calculada</t>
  </si>
  <si>
    <t>Error</t>
  </si>
  <si>
    <t>Caso (27-11-2025)</t>
  </si>
  <si>
    <t>Alimentación Jameso Pre Scavenger</t>
  </si>
  <si>
    <t>TDD. Feed Pre-Scv. #1</t>
  </si>
  <si>
    <t>Caso (01-12-2025)</t>
  </si>
  <si>
    <t>TDD. Feed Pre-Scv.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</si>
</sst>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Rec CuF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Hoja1!$A$2:$A$5</c:f>
              <c:numCache>
                <c:formatCode>General</c:formatCode>
                <c:ptCount val="4"/>
                <c:pt idx="0">
                  <c:v>0.72</c:v>
                </c:pt>
                <c:pt idx="1">
                  <c:v>1.08</c:v>
                </c:pt>
                <c:pt idx="2">
                  <c:v>1.45</c:v>
                </c:pt>
                <c:pt idx="3">
                  <c:v>2.78</c:v>
                </c:pt>
              </c:numCache>
            </c:numRef>
          </c:xVal>
          <c:yVal>
            <c:numRef>
              <c:f>Hoja1!$E$2:$E$5</c:f>
              <c:numCache>
                <c:formatCode>General</c:formatCode>
                <c:ptCount val="4"/>
                <c:pt idx="0">
                  <c:v>26.91</c:v>
                </c:pt>
                <c:pt idx="1">
                  <c:v>76.739999999999995</c:v>
                </c:pt>
                <c:pt idx="2">
                  <c:v>26.36</c:v>
                </c:pt>
                <c:pt idx="3">
                  <c:v>93.73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3-4CE1-AAFF-84A7F94B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593296"/>
        <c:axId val="993610096"/>
      </c:scatterChart>
      <c:valAx>
        <c:axId val="9935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610096"/>
        <c:crosses val="autoZero"/>
        <c:crossBetween val="midCat"/>
      </c:valAx>
      <c:valAx>
        <c:axId val="9936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5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Rec Másica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Hoja1!$A$2:$A$5</c:f>
              <c:numCache>
                <c:formatCode>General</c:formatCode>
                <c:ptCount val="4"/>
                <c:pt idx="0">
                  <c:v>0.72</c:v>
                </c:pt>
                <c:pt idx="1">
                  <c:v>1.08</c:v>
                </c:pt>
                <c:pt idx="2">
                  <c:v>1.45</c:v>
                </c:pt>
                <c:pt idx="3">
                  <c:v>2.78</c:v>
                </c:pt>
              </c:numCache>
            </c:numRef>
          </c:xVal>
          <c:yVal>
            <c:numRef>
              <c:f>Hoja1!$F$2:$F$5</c:f>
              <c:numCache>
                <c:formatCode>General</c:formatCode>
                <c:ptCount val="4"/>
                <c:pt idx="0">
                  <c:v>8.11</c:v>
                </c:pt>
                <c:pt idx="1">
                  <c:v>10.69</c:v>
                </c:pt>
                <c:pt idx="2">
                  <c:v>3.21</c:v>
                </c:pt>
                <c:pt idx="3">
                  <c:v>9.52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3-4611-B437-2AC18338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593296"/>
        <c:axId val="993610096"/>
      </c:scatterChart>
      <c:valAx>
        <c:axId val="9935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610096"/>
        <c:crosses val="autoZero"/>
        <c:crossBetween val="midCat"/>
      </c:valAx>
      <c:valAx>
        <c:axId val="9936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5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Hoja1!$A$2:$A$5</c:f>
              <c:numCache>
                <c:formatCode>General</c:formatCode>
                <c:ptCount val="4"/>
                <c:pt idx="0">
                  <c:v>0.72</c:v>
                </c:pt>
                <c:pt idx="1">
                  <c:v>1.08</c:v>
                </c:pt>
                <c:pt idx="2">
                  <c:v>1.45</c:v>
                </c:pt>
                <c:pt idx="3">
                  <c:v>2.78</c:v>
                </c:pt>
              </c:numCache>
            </c:numRef>
          </c:xVal>
          <c:yVal>
            <c:numRef>
              <c:f>Hoja1!$G$2:$G$5</c:f>
              <c:numCache>
                <c:formatCode>General</c:formatCode>
                <c:ptCount val="4"/>
                <c:pt idx="0">
                  <c:v>3.3181257706535146</c:v>
                </c:pt>
                <c:pt idx="1">
                  <c:v>7.1786716557530399</c:v>
                </c:pt>
                <c:pt idx="2">
                  <c:v>8.2118380062305292</c:v>
                </c:pt>
                <c:pt idx="3">
                  <c:v>9.8455882352941178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7-4585-A070-9EBA3917F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593296"/>
        <c:axId val="993610096"/>
      </c:scatterChart>
      <c:valAx>
        <c:axId val="9935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610096"/>
        <c:crosses val="autoZero"/>
        <c:crossBetween val="midCat"/>
      </c:valAx>
      <c:valAx>
        <c:axId val="9936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5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Hoja2!$C$21</c:f>
              <c:strCache>
                <c:ptCount val="1"/>
                <c:pt idx="0">
                  <c:v>SF masa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Hoja2!$C$22:$C$28</c:f>
              <c:numCache>
                <c:formatCode>General</c:formatCode>
                <c:ptCount val="7"/>
                <c:pt idx="0">
                  <c:v>3.8842418998173258</c:v>
                </c:pt>
                <c:pt idx="1">
                  <c:v>5.9128929910585528</c:v>
                </c:pt>
                <c:pt idx="2">
                  <c:v>10.210556677242574</c:v>
                </c:pt>
                <c:pt idx="3">
                  <c:v>15.719642342082492</c:v>
                </c:pt>
                <c:pt idx="4">
                  <c:v>16.950293241034519</c:v>
                </c:pt>
                <c:pt idx="5">
                  <c:v>18.334775502355548</c:v>
                </c:pt>
                <c:pt idx="6">
                  <c:v>27.949235650418235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B-45B4-8AB6-6C63D878E590}"/>
            </c:ext>
          </c:extLst>
        </c:ser>
        <c:ser>
          <c:idx val="1"/>
          <c:order val="1"/>
          <c:tx>
            <c:strRef>
              <c:f>Hoja2!$D$21</c:f>
              <c:strCache>
                <c:ptCount val="1"/>
                <c:pt idx="0">
                  <c:v>SF cuf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Hoja2!$D$22:$D$28</c:f>
              <c:numCache>
                <c:formatCode>General</c:formatCode>
                <c:ptCount val="7"/>
                <c:pt idx="0">
                  <c:v>21.749093958025771</c:v>
                </c:pt>
                <c:pt idx="1">
                  <c:v>33.015764636209411</c:v>
                </c:pt>
                <c:pt idx="2">
                  <c:v>55.756312103192904</c:v>
                </c:pt>
                <c:pt idx="3">
                  <c:v>83.138793525011295</c:v>
                </c:pt>
                <c:pt idx="4">
                  <c:v>88.060032476607589</c:v>
                </c:pt>
                <c:pt idx="5">
                  <c:v>90.386879120275168</c:v>
                </c:pt>
                <c:pt idx="6">
                  <c:v>93.843789277265174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B-45B4-8AB6-6C63D878E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77136"/>
        <c:axId val="993493936"/>
      </c:lineChart>
      <c:lineChart>
        <c:grouping val="standard"/>
        <c:varyColors val="0"/>
        <c:ser>
          <c:idx val="2"/>
          <c:order val="2"/>
          <c:tx>
            <c:strRef>
              <c:f>Hoja2!$E$21</c:f>
              <c:strCache>
                <c:ptCount val="1"/>
                <c:pt idx="0">
                  <c:v>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Hoja2!$E$22:$E$28</c:f>
              <c:numCache>
                <c:formatCode>General</c:formatCode>
                <c:ptCount val="7"/>
                <c:pt idx="0">
                  <c:v>5.5993150063719312</c:v>
                </c:pt>
                <c:pt idx="1">
                  <c:v>5.583690536279903</c:v>
                </c:pt>
                <c:pt idx="2">
                  <c:v>5.4606535045697679</c:v>
                </c:pt>
                <c:pt idx="3">
                  <c:v>5.2888476541507181</c:v>
                </c:pt>
                <c:pt idx="4">
                  <c:v>5.1951922733363318</c:v>
                </c:pt>
                <c:pt idx="5">
                  <c:v>4.9298056094912521</c:v>
                </c:pt>
                <c:pt idx="6">
                  <c:v>3.3576513666076191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DB-45B4-8AB6-6C63D878E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74256"/>
        <c:axId val="993489616"/>
      </c:lineChart>
      <c:catAx>
        <c:axId val="99347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493936"/>
        <c:crosses val="autoZero"/>
        <c:auto val="1"/>
        <c:lblAlgn val="ctr"/>
        <c:lblOffset val="100"/>
        <c:noMultiLvlLbl val="0"/>
      </c:catAx>
      <c:valAx>
        <c:axId val="9934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477136"/>
        <c:crosses val="autoZero"/>
        <c:crossBetween val="between"/>
      </c:valAx>
      <c:valAx>
        <c:axId val="993489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474256"/>
        <c:crosses val="max"/>
        <c:crossBetween val="between"/>
      </c:valAx>
      <c:catAx>
        <c:axId val="993474256"/>
        <c:scaling>
          <c:orientation val="minMax"/>
        </c:scaling>
        <c:delete val="1"/>
        <c:axPos val="b"/>
        <c:majorTickMark val="out"/>
        <c:minorTickMark val="none"/>
        <c:tickLblPos val="nextTo"/>
        <c:crossAx val="993489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Ley: 4,611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Hoja2!$J$38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Hoja2!$C$39:$C$43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</c:numCache>
            </c:numRef>
          </c:xVal>
          <c:yVal>
            <c:numRef>
              <c:f>Hoja2!$J$39:$J$43</c:f>
              <c:numCache>
                <c:formatCode>General</c:formatCode>
                <c:ptCount val="5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5-446B-B3F0-3EDBAC3817EA}"/>
            </c:ext>
          </c:extLst>
        </c:ser>
        <c:ser>
          <c:idx val="2"/>
          <c:order val="2"/>
          <c:tx>
            <c:strRef>
              <c:f>Hoja2!$L$38</c:f>
              <c:strCache>
                <c:ptCount val="1"/>
                <c:pt idx="0">
                  <c:v>Mass Pull acumulado,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Hoja2!$C$39:$C$43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</c:numCache>
            </c:numRef>
          </c:xVal>
          <c:yVal>
            <c:numRef>
              <c:f>Hoja2!$L$39:$L$43</c:f>
              <c:numCache>
                <c:formatCode>General</c:formatCode>
                <c:ptCount val="5"/>
                <c:pt idx="0">
                  <c:v>3.8842418998173258</c:v>
                </c:pt>
                <c:pt idx="1">
                  <c:v>5.9128929910585528</c:v>
                </c:pt>
                <c:pt idx="2">
                  <c:v>10.210556677242575</c:v>
                </c:pt>
                <c:pt idx="3">
                  <c:v>15.719642342082494</c:v>
                </c:pt>
                <c:pt idx="4">
                  <c:v>16.950293241034519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25-446B-B3F0-3EDBAC38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534256"/>
        <c:axId val="993534736"/>
      </c:scatterChart>
      <c:scatterChart>
        <c:scatterStyle val="lineMarker"/>
        <c:varyColors val="0"/>
        <c:ser>
          <c:idx val="0"/>
          <c:order val="0"/>
          <c:tx>
            <c:strRef>
              <c:f>Hoja2!$I$38</c:f>
              <c:strCache>
                <c:ptCount val="1"/>
                <c:pt idx="0">
                  <c:v>Ley acumulada,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Hoja2!$C$39:$C$43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</c:numCache>
            </c:numRef>
          </c:xVal>
          <c:yVal>
            <c:numRef>
              <c:f>Hoja2!$I$39:$I$43</c:f>
              <c:numCache>
                <c:formatCode>General</c:formatCode>
                <c:ptCount val="5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25-446B-B3F0-3EDBAC38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517456"/>
        <c:axId val="993515056"/>
      </c:scatterChart>
      <c:valAx>
        <c:axId val="99353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534736"/>
        <c:crosses val="autoZero"/>
        <c:crossBetween val="midCat"/>
      </c:valAx>
      <c:valAx>
        <c:axId val="9935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534256"/>
        <c:crosses val="autoZero"/>
        <c:crossBetween val="midCat"/>
      </c:valAx>
      <c:valAx>
        <c:axId val="993515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517456"/>
        <c:crosses val="max"/>
        <c:crossBetween val="midCat"/>
      </c:valAx>
      <c:valAx>
        <c:axId val="99351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351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Hoja2!$J$68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Hoja2!$C$69:$C$73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9.5</c:v>
                </c:pt>
                <c:pt idx="4">
                  <c:v>19.5</c:v>
                </c:pt>
              </c:numCache>
            </c:numRef>
          </c:xVal>
          <c:yVal>
            <c:numRef>
              <c:f>Hoja2!$J$69:$J$73</c:f>
              <c:numCache>
                <c:formatCode>General</c:formatCode>
                <c:ptCount val="5"/>
                <c:pt idx="0">
                  <c:v>6.2875366596855207</c:v>
                </c:pt>
                <c:pt idx="1">
                  <c:v>11.384813665726032</c:v>
                </c:pt>
                <c:pt idx="2">
                  <c:v>15.46176912323371</c:v>
                </c:pt>
                <c:pt idx="3">
                  <c:v>22.68197322218931</c:v>
                </c:pt>
                <c:pt idx="4">
                  <c:v>29.936130296274357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A2-47FB-BD7C-D64F476BC9BB}"/>
            </c:ext>
          </c:extLst>
        </c:ser>
        <c:ser>
          <c:idx val="2"/>
          <c:order val="2"/>
          <c:tx>
            <c:strRef>
              <c:f>Hoja2!$L$68</c:f>
              <c:strCache>
                <c:ptCount val="1"/>
                <c:pt idx="0">
                  <c:v>Mass Pull acumulado,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Hoja2!$C$69:$C$73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9.5</c:v>
                </c:pt>
                <c:pt idx="4">
                  <c:v>19.5</c:v>
                </c:pt>
              </c:numCache>
            </c:numRef>
          </c:xVal>
          <c:yVal>
            <c:numRef>
              <c:f>Hoja2!$L$69:$L$73</c:f>
              <c:numCache>
                <c:formatCode>General</c:formatCode>
                <c:ptCount val="5"/>
                <c:pt idx="0">
                  <c:v>0.17184401850627892</c:v>
                </c:pt>
                <c:pt idx="1">
                  <c:v>0.31725049570389957</c:v>
                </c:pt>
                <c:pt idx="2">
                  <c:v>0.43621943159286192</c:v>
                </c:pt>
                <c:pt idx="3">
                  <c:v>0.64771976206212822</c:v>
                </c:pt>
                <c:pt idx="4">
                  <c:v>0.898876404494382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A2-47FB-BD7C-D64F476BC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879232"/>
        <c:axId val="997879712"/>
      </c:scatterChart>
      <c:scatterChart>
        <c:scatterStyle val="lineMarker"/>
        <c:varyColors val="0"/>
        <c:ser>
          <c:idx val="0"/>
          <c:order val="0"/>
          <c:tx>
            <c:strRef>
              <c:f>Hoja2!$I$68</c:f>
              <c:strCache>
                <c:ptCount val="1"/>
                <c:pt idx="0">
                  <c:v>Ley acumulada,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Hoja2!$C$69:$C$73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9.5</c:v>
                </c:pt>
                <c:pt idx="4">
                  <c:v>19.5</c:v>
                </c:pt>
              </c:numCache>
            </c:numRef>
          </c:xVal>
          <c:yVal>
            <c:numRef>
              <c:f>Hoja2!$I$69:$I$73</c:f>
              <c:numCache>
                <c:formatCode>General</c:formatCode>
                <c:ptCount val="5"/>
                <c:pt idx="0">
                  <c:v>27.920000000000005</c:v>
                </c:pt>
                <c:pt idx="1">
                  <c:v>27.383749999999999</c:v>
                </c:pt>
                <c:pt idx="2">
                  <c:v>27.047272727272727</c:v>
                </c:pt>
                <c:pt idx="3">
                  <c:v>26.721632653061224</c:v>
                </c:pt>
                <c:pt idx="4">
                  <c:v>25.413529411764706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2-47FB-BD7C-D64F476BC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789024"/>
        <c:axId val="1495894416"/>
      </c:scatterChart>
      <c:valAx>
        <c:axId val="99787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7879712"/>
        <c:crosses val="autoZero"/>
        <c:crossBetween val="midCat"/>
      </c:valAx>
      <c:valAx>
        <c:axId val="9978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7879232"/>
        <c:crosses val="autoZero"/>
        <c:crossBetween val="midCat"/>
      </c:valAx>
      <c:valAx>
        <c:axId val="1495894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9789024"/>
        <c:crosses val="max"/>
        <c:crossBetween val="midCat"/>
      </c:valAx>
      <c:valAx>
        <c:axId val="1229789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589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Hoja2!$J$81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Hoja2!$C$82:$C$86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9.5</c:v>
                </c:pt>
                <c:pt idx="4">
                  <c:v>19.5</c:v>
                </c:pt>
              </c:numCache>
            </c:numRef>
          </c:xVal>
          <c:yVal>
            <c:numRef>
              <c:f>Hoja2!$J$82:$J$86</c:f>
              <c:numCache>
                <c:formatCode>General</c:formatCode>
                <c:ptCount val="5"/>
                <c:pt idx="0">
                  <c:v>14.953721146115335</c:v>
                </c:pt>
                <c:pt idx="1">
                  <c:v>24.917301390631334</c:v>
                </c:pt>
                <c:pt idx="2">
                  <c:v>38.256409061307671</c:v>
                </c:pt>
                <c:pt idx="3">
                  <c:v>56.942216491041364</c:v>
                </c:pt>
                <c:pt idx="4">
                  <c:v>62.801097383034069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3-4635-8668-FAE89188B3CD}"/>
            </c:ext>
          </c:extLst>
        </c:ser>
        <c:ser>
          <c:idx val="2"/>
          <c:order val="2"/>
          <c:tx>
            <c:strRef>
              <c:f>Hoja2!$L$81</c:f>
              <c:strCache>
                <c:ptCount val="1"/>
                <c:pt idx="0">
                  <c:v>Mass Pull acumulado,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Hoja2!$C$82:$C$86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9.5</c:v>
                </c:pt>
                <c:pt idx="4">
                  <c:v>19.5</c:v>
                </c:pt>
              </c:numCache>
            </c:numRef>
          </c:xVal>
          <c:yVal>
            <c:numRef>
              <c:f>Hoja2!$L$82:$L$86</c:f>
              <c:numCache>
                <c:formatCode>General</c:formatCode>
                <c:ptCount val="5"/>
                <c:pt idx="0">
                  <c:v>0.72703238598810316</c:v>
                </c:pt>
                <c:pt idx="1">
                  <c:v>1.2690019828155981</c:v>
                </c:pt>
                <c:pt idx="2">
                  <c:v>2.0753469927296759</c:v>
                </c:pt>
                <c:pt idx="3">
                  <c:v>3.6880370125578317</c:v>
                </c:pt>
                <c:pt idx="4">
                  <c:v>4.4679444811632516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93-4635-8668-FAE89188B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114032"/>
        <c:axId val="1516113072"/>
      </c:scatterChart>
      <c:scatterChart>
        <c:scatterStyle val="lineMarker"/>
        <c:varyColors val="0"/>
        <c:ser>
          <c:idx val="0"/>
          <c:order val="0"/>
          <c:tx>
            <c:strRef>
              <c:f>Hoja2!$I$81</c:f>
              <c:strCache>
                <c:ptCount val="1"/>
                <c:pt idx="0">
                  <c:v>Ley acumulada,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Hoja2!$C$82:$C$86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9.5</c:v>
                </c:pt>
                <c:pt idx="4">
                  <c:v>19.5</c:v>
                </c:pt>
              </c:numCache>
            </c:numRef>
          </c:xVal>
          <c:yVal>
            <c:numRef>
              <c:f>Hoja2!$I$82:$I$86</c:f>
              <c:numCache>
                <c:formatCode>General</c:formatCode>
                <c:ptCount val="5"/>
                <c:pt idx="0">
                  <c:v>21</c:v>
                </c:pt>
                <c:pt idx="1">
                  <c:v>20.047604166666666</c:v>
                </c:pt>
                <c:pt idx="2">
                  <c:v>18.820764331210192</c:v>
                </c:pt>
                <c:pt idx="3">
                  <c:v>15.763870967741937</c:v>
                </c:pt>
                <c:pt idx="4">
                  <c:v>14.351035502958581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3-4635-8668-FAE89188B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097072"/>
        <c:axId val="1372096112"/>
      </c:scatterChart>
      <c:valAx>
        <c:axId val="15161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113072"/>
        <c:crosses val="autoZero"/>
        <c:crossBetween val="midCat"/>
      </c:valAx>
      <c:valAx>
        <c:axId val="15161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114032"/>
        <c:crosses val="autoZero"/>
        <c:crossBetween val="midCat"/>
      </c:valAx>
      <c:valAx>
        <c:axId val="13720961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097072"/>
        <c:crosses val="max"/>
        <c:crossBetween val="midCat"/>
      </c:valAx>
      <c:valAx>
        <c:axId val="137209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209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176212</xdr:rowOff>
    </xdr:from>
    <xdr:to>
      <xdr:col>7</xdr:col>
      <xdr:colOff>28575</xdr:colOff>
      <xdr:row>21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5AC267-4E4D-C7AD-15C8-4952DB1BC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6</xdr:row>
      <xdr:rowOff>161925</xdr:rowOff>
    </xdr:from>
    <xdr:to>
      <xdr:col>12</xdr:col>
      <xdr:colOff>371475</xdr:colOff>
      <xdr:row>21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12556F-B2E1-43A6-8AF5-31CF05083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419100</xdr:colOff>
      <xdr:row>6</xdr:row>
      <xdr:rowOff>152400</xdr:rowOff>
    </xdr:from>
    <xdr:to>
      <xdr:col>18</xdr:col>
      <xdr:colOff>419100</xdr:colOff>
      <xdr:row>21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081300-64F3-4065-86C5-5A41146AD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431816</xdr:colOff>
      <xdr:row>8</xdr:row>
      <xdr:rowOff>89977</xdr:rowOff>
    </xdr:from>
    <xdr:to>
      <xdr:col>3</xdr:col>
      <xdr:colOff>339709</xdr:colOff>
      <xdr:row>18</xdr:row>
      <xdr:rowOff>43370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35CCF593-5754-71E9-82DA-11963B50C051}"/>
            </a:ext>
          </a:extLst>
        </xdr:cNvPr>
        <xdr:cNvSpPr/>
      </xdr:nvSpPr>
      <xdr:spPr>
        <a:xfrm rot="18175249">
          <a:off x="1361566" y="2208227"/>
          <a:ext cx="1858393" cy="669893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263288</xdr:colOff>
      <xdr:row>12</xdr:row>
      <xdr:rowOff>58220</xdr:rowOff>
    </xdr:from>
    <xdr:to>
      <xdr:col>6</xdr:col>
      <xdr:colOff>509288</xdr:colOff>
      <xdr:row>15</xdr:row>
      <xdr:rowOff>27842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BB6477AE-7323-408F-96B3-D4D51EDCEDE2}"/>
            </a:ext>
          </a:extLst>
        </xdr:cNvPr>
        <xdr:cNvSpPr/>
      </xdr:nvSpPr>
      <xdr:spPr>
        <a:xfrm rot="20056713">
          <a:off x="2549288" y="2344220"/>
          <a:ext cx="2532000" cy="541122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7002</xdr:colOff>
      <xdr:row>10</xdr:row>
      <xdr:rowOff>130400</xdr:rowOff>
    </xdr:from>
    <xdr:to>
      <xdr:col>9</xdr:col>
      <xdr:colOff>1126772</xdr:colOff>
      <xdr:row>12</xdr:row>
      <xdr:rowOff>173985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C1604B01-20EF-4B85-BBE2-74933C33A4BC}"/>
            </a:ext>
          </a:extLst>
        </xdr:cNvPr>
        <xdr:cNvSpPr/>
      </xdr:nvSpPr>
      <xdr:spPr>
        <a:xfrm rot="19186371">
          <a:off x="6865002" y="2035400"/>
          <a:ext cx="1119770" cy="424585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900091</xdr:colOff>
      <xdr:row>12</xdr:row>
      <xdr:rowOff>183794</xdr:rowOff>
    </xdr:from>
    <xdr:to>
      <xdr:col>12</xdr:col>
      <xdr:colOff>746736</xdr:colOff>
      <xdr:row>16</xdr:row>
      <xdr:rowOff>121944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EFF95317-4A78-40FB-BB69-B9FE1A2594A0}"/>
            </a:ext>
          </a:extLst>
        </xdr:cNvPr>
        <xdr:cNvSpPr/>
      </xdr:nvSpPr>
      <xdr:spPr>
        <a:xfrm rot="20188902">
          <a:off x="7758091" y="2469794"/>
          <a:ext cx="2561270" cy="700150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1</xdr:row>
      <xdr:rowOff>133350</xdr:rowOff>
    </xdr:from>
    <xdr:to>
      <xdr:col>16</xdr:col>
      <xdr:colOff>706869</xdr:colOff>
      <xdr:row>26</xdr:row>
      <xdr:rowOff>156889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5BC4295-ADBC-4240-8C10-8D5E0B7B00F9}"/>
            </a:ext>
          </a:extLst>
        </xdr:cNvPr>
        <xdr:cNvGrpSpPr/>
      </xdr:nvGrpSpPr>
      <xdr:grpSpPr>
        <a:xfrm>
          <a:off x="11420475" y="333375"/>
          <a:ext cx="4678794" cy="4805089"/>
          <a:chOff x="3020568" y="659368"/>
          <a:chExt cx="4898136" cy="4465844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97EBB6A8-AB6B-732A-CA37-E5370EA7BA8F}"/>
              </a:ext>
            </a:extLst>
          </xdr:cNvPr>
          <xdr:cNvSpPr/>
        </xdr:nvSpPr>
        <xdr:spPr>
          <a:xfrm>
            <a:off x="4367784" y="722376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1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4DC0838A-434E-596D-E620-0F302138BAA8}"/>
              </a:ext>
            </a:extLst>
          </xdr:cNvPr>
          <xdr:cNvSpPr/>
        </xdr:nvSpPr>
        <xdr:spPr>
          <a:xfrm>
            <a:off x="4367784" y="1981200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2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671F6EA-7DA4-745D-46A7-3B98A2A0575C}"/>
              </a:ext>
            </a:extLst>
          </xdr:cNvPr>
          <xdr:cNvSpPr/>
        </xdr:nvSpPr>
        <xdr:spPr>
          <a:xfrm>
            <a:off x="4367784" y="3240024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3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87AB1AED-850C-A408-DE0F-75768365A333}"/>
              </a:ext>
            </a:extLst>
          </xdr:cNvPr>
          <xdr:cNvGrpSpPr/>
        </xdr:nvGrpSpPr>
        <xdr:grpSpPr>
          <a:xfrm>
            <a:off x="6096000" y="1028700"/>
            <a:ext cx="1822704" cy="2531364"/>
            <a:chOff x="6096000" y="1028700"/>
            <a:chExt cx="2005584" cy="2531364"/>
          </a:xfrm>
        </xdr:grpSpPr>
        <xdr:cxnSp macro="">
          <xdr:nvCxnSpPr>
            <xdr:cNvPr id="23" name="Conector recto de flecha 22">
              <a:extLst>
                <a:ext uri="{FF2B5EF4-FFF2-40B4-BE49-F238E27FC236}">
                  <a16:creationId xmlns:a16="http://schemas.microsoft.com/office/drawing/2014/main" id="{A5726450-66DB-9EE0-E2AD-CF3B75E0C455}"/>
                </a:ext>
              </a:extLst>
            </xdr:cNvPr>
            <xdr:cNvCxnSpPr>
              <a:stCxn id="3" idx="3"/>
            </xdr:cNvCxnSpPr>
          </xdr:nvCxnSpPr>
          <xdr:spPr>
            <a:xfrm>
              <a:off x="6096000" y="1028700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cto de flecha 23">
              <a:extLst>
                <a:ext uri="{FF2B5EF4-FFF2-40B4-BE49-F238E27FC236}">
                  <a16:creationId xmlns:a16="http://schemas.microsoft.com/office/drawing/2014/main" id="{EFE7E3E1-84F4-F801-E094-DBD045EC7A25}"/>
                </a:ext>
              </a:extLst>
            </xdr:cNvPr>
            <xdr:cNvCxnSpPr>
              <a:cxnSpLocks/>
            </xdr:cNvCxnSpPr>
          </xdr:nvCxnSpPr>
          <xdr:spPr>
            <a:xfrm>
              <a:off x="6096000" y="2287524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ctor recto de flecha 24">
              <a:extLst>
                <a:ext uri="{FF2B5EF4-FFF2-40B4-BE49-F238E27FC236}">
                  <a16:creationId xmlns:a16="http://schemas.microsoft.com/office/drawing/2014/main" id="{A34CBA3C-75C0-3C12-903B-2B3231201CA7}"/>
                </a:ext>
              </a:extLst>
            </xdr:cNvPr>
            <xdr:cNvCxnSpPr>
              <a:cxnSpLocks/>
            </xdr:cNvCxnSpPr>
          </xdr:nvCxnSpPr>
          <xdr:spPr>
            <a:xfrm>
              <a:off x="6096000" y="3546348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" name="CuadroTexto 10">
            <a:extLst>
              <a:ext uri="{FF2B5EF4-FFF2-40B4-BE49-F238E27FC236}">
                <a16:creationId xmlns:a16="http://schemas.microsoft.com/office/drawing/2014/main" id="{171FC8D8-0AEF-76E7-5641-DCCC2F76091E}"/>
              </a:ext>
            </a:extLst>
          </xdr:cNvPr>
          <xdr:cNvSpPr txBox="1"/>
        </xdr:nvSpPr>
        <xdr:spPr>
          <a:xfrm>
            <a:off x="6617660" y="65936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1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8" name="CuadroTexto 11">
            <a:extLst>
              <a:ext uri="{FF2B5EF4-FFF2-40B4-BE49-F238E27FC236}">
                <a16:creationId xmlns:a16="http://schemas.microsoft.com/office/drawing/2014/main" id="{4D7C335C-F897-407E-0CAD-AD1A81C162F3}"/>
              </a:ext>
            </a:extLst>
          </xdr:cNvPr>
          <xdr:cNvSpPr txBox="1"/>
        </xdr:nvSpPr>
        <xdr:spPr>
          <a:xfrm>
            <a:off x="6617659" y="193190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2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9" name="CuadroTexto 12">
            <a:extLst>
              <a:ext uri="{FF2B5EF4-FFF2-40B4-BE49-F238E27FC236}">
                <a16:creationId xmlns:a16="http://schemas.microsoft.com/office/drawing/2014/main" id="{B64EB042-FF19-A211-819E-F87C36CABBED}"/>
              </a:ext>
            </a:extLst>
          </xdr:cNvPr>
          <xdr:cNvSpPr txBox="1"/>
        </xdr:nvSpPr>
        <xdr:spPr>
          <a:xfrm>
            <a:off x="6617658" y="3190732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3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C17C33CC-5006-6015-7B25-BF88FBFB56D4}"/>
              </a:ext>
            </a:extLst>
          </xdr:cNvPr>
          <xdr:cNvGrpSpPr/>
        </xdr:nvGrpSpPr>
        <xdr:grpSpPr>
          <a:xfrm>
            <a:off x="3020568" y="4512564"/>
            <a:ext cx="4422648" cy="612648"/>
            <a:chOff x="3511296" y="4512564"/>
            <a:chExt cx="4422648" cy="612648"/>
          </a:xfrm>
        </xdr:grpSpPr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24F0EFB6-D4CC-135A-91FD-FBA2606960E7}"/>
                </a:ext>
              </a:extLst>
            </xdr:cNvPr>
            <xdr:cNvSpPr/>
          </xdr:nvSpPr>
          <xdr:spPr>
            <a:xfrm>
              <a:off x="351129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1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6363F491-28BD-4022-B30A-BAAE0F86BA2F}"/>
                </a:ext>
              </a:extLst>
            </xdr:cNvPr>
            <xdr:cNvSpPr/>
          </xdr:nvSpPr>
          <xdr:spPr>
            <a:xfrm>
              <a:off x="440283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2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1FB2E64A-DF6F-8B09-D6A1-CAC1E716C695}"/>
                </a:ext>
              </a:extLst>
            </xdr:cNvPr>
            <xdr:cNvSpPr/>
          </xdr:nvSpPr>
          <xdr:spPr>
            <a:xfrm>
              <a:off x="529437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3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1" name="Rectángulo 20">
              <a:extLst>
                <a:ext uri="{FF2B5EF4-FFF2-40B4-BE49-F238E27FC236}">
                  <a16:creationId xmlns:a16="http://schemas.microsoft.com/office/drawing/2014/main" id="{03F7C94A-E8BE-28FA-1C13-6FF7CB8B6EA4}"/>
                </a:ext>
              </a:extLst>
            </xdr:cNvPr>
            <xdr:cNvSpPr/>
          </xdr:nvSpPr>
          <xdr:spPr>
            <a:xfrm>
              <a:off x="618591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4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834106D3-5013-9379-5853-43AE77846212}"/>
                </a:ext>
              </a:extLst>
            </xdr:cNvPr>
            <xdr:cNvSpPr/>
          </xdr:nvSpPr>
          <xdr:spPr>
            <a:xfrm>
              <a:off x="707745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5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</xdr:grp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4B2E189D-DBF2-B63D-B535-4008367CD012}"/>
              </a:ext>
            </a:extLst>
          </xdr:cNvPr>
          <xdr:cNvCxnSpPr>
            <a:cxnSpLocks/>
          </xdr:cNvCxnSpPr>
        </xdr:nvCxnSpPr>
        <xdr:spPr>
          <a:xfrm>
            <a:off x="5231892" y="3852672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de flecha 11">
            <a:extLst>
              <a:ext uri="{FF2B5EF4-FFF2-40B4-BE49-F238E27FC236}">
                <a16:creationId xmlns:a16="http://schemas.microsoft.com/office/drawing/2014/main" id="{7AD372D0-C33E-3B3C-831E-70103465A580}"/>
              </a:ext>
            </a:extLst>
          </xdr:cNvPr>
          <xdr:cNvCxnSpPr>
            <a:cxnSpLocks/>
          </xdr:cNvCxnSpPr>
        </xdr:nvCxnSpPr>
        <xdr:spPr>
          <a:xfrm flipH="1">
            <a:off x="4443984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Conector recto de flecha 12">
            <a:extLst>
              <a:ext uri="{FF2B5EF4-FFF2-40B4-BE49-F238E27FC236}">
                <a16:creationId xmlns:a16="http://schemas.microsoft.com/office/drawing/2014/main" id="{2A54D2D0-E427-E3BA-F1D4-67D9B5056504}"/>
              </a:ext>
            </a:extLst>
          </xdr:cNvPr>
          <xdr:cNvCxnSpPr>
            <a:cxnSpLocks/>
          </xdr:cNvCxnSpPr>
        </xdr:nvCxnSpPr>
        <xdr:spPr>
          <a:xfrm flipH="1">
            <a:off x="3448812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B93866E1-4478-FE4C-8059-5DFDAFC1AD69}"/>
              </a:ext>
            </a:extLst>
          </xdr:cNvPr>
          <xdr:cNvCxnSpPr>
            <a:cxnSpLocks/>
          </xdr:cNvCxnSpPr>
        </xdr:nvCxnSpPr>
        <xdr:spPr>
          <a:xfrm>
            <a:off x="5454397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59F03874-A36D-2413-7FA2-FF7E7A25B49D}"/>
              </a:ext>
            </a:extLst>
          </xdr:cNvPr>
          <xdr:cNvCxnSpPr>
            <a:cxnSpLocks/>
          </xdr:cNvCxnSpPr>
        </xdr:nvCxnSpPr>
        <xdr:spPr>
          <a:xfrm>
            <a:off x="5737099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de flecha 15">
            <a:extLst>
              <a:ext uri="{FF2B5EF4-FFF2-40B4-BE49-F238E27FC236}">
                <a16:creationId xmlns:a16="http://schemas.microsoft.com/office/drawing/2014/main" id="{3ACFE7A8-EB9E-BA4D-4E72-C856E9E7A978}"/>
              </a:ext>
            </a:extLst>
          </xdr:cNvPr>
          <xdr:cNvCxnSpPr>
            <a:cxnSpLocks/>
          </xdr:cNvCxnSpPr>
        </xdr:nvCxnSpPr>
        <xdr:spPr>
          <a:xfrm>
            <a:off x="5231892" y="1335024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F279A97E-F47D-5EA2-A934-F862F42F18A4}"/>
              </a:ext>
            </a:extLst>
          </xdr:cNvPr>
          <xdr:cNvCxnSpPr>
            <a:cxnSpLocks/>
          </xdr:cNvCxnSpPr>
        </xdr:nvCxnSpPr>
        <xdr:spPr>
          <a:xfrm>
            <a:off x="5231892" y="2593848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447676</xdr:colOff>
      <xdr:row>14</xdr:row>
      <xdr:rowOff>0</xdr:rowOff>
    </xdr:from>
    <xdr:to>
      <xdr:col>17</xdr:col>
      <xdr:colOff>9525</xdr:colOff>
      <xdr:row>28</xdr:row>
      <xdr:rowOff>9525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5E6CEE1C-FB3A-3702-91BF-765340B46E8F}"/>
            </a:ext>
          </a:extLst>
        </xdr:cNvPr>
        <xdr:cNvSpPr/>
      </xdr:nvSpPr>
      <xdr:spPr>
        <a:xfrm>
          <a:off x="7991476" y="2686050"/>
          <a:ext cx="4895849" cy="26765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13</xdr:col>
      <xdr:colOff>447675</xdr:colOff>
      <xdr:row>14</xdr:row>
      <xdr:rowOff>38100</xdr:rowOff>
    </xdr:from>
    <xdr:to>
      <xdr:col>14</xdr:col>
      <xdr:colOff>561975</xdr:colOff>
      <xdr:row>15</xdr:row>
      <xdr:rowOff>171450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7055ECA-391A-486A-E1B1-CBA67A66E243}"/>
            </a:ext>
          </a:extLst>
        </xdr:cNvPr>
        <xdr:cNvSpPr txBox="1"/>
      </xdr:nvSpPr>
      <xdr:spPr>
        <a:xfrm>
          <a:off x="10277475" y="2724150"/>
          <a:ext cx="876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600" b="1">
              <a:solidFill>
                <a:schemeClr val="accent3"/>
              </a:solidFill>
            </a:rPr>
            <a:t>C6</a:t>
          </a:r>
        </a:p>
      </xdr:txBody>
    </xdr:sp>
    <xdr:clientData/>
  </xdr:twoCellAnchor>
  <xdr:twoCellAnchor>
    <xdr:from>
      <xdr:col>6</xdr:col>
      <xdr:colOff>61912</xdr:colOff>
      <xdr:row>9</xdr:row>
      <xdr:rowOff>166687</xdr:rowOff>
    </xdr:from>
    <xdr:to>
      <xdr:col>12</xdr:col>
      <xdr:colOff>61912</xdr:colOff>
      <xdr:row>24</xdr:row>
      <xdr:rowOff>42862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6CA5BD2-03D3-D9E1-31D3-CA937E79E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47</xdr:row>
      <xdr:rowOff>4762</xdr:rowOff>
    </xdr:from>
    <xdr:to>
      <xdr:col>15</xdr:col>
      <xdr:colOff>85725</xdr:colOff>
      <xdr:row>61</xdr:row>
      <xdr:rowOff>80962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2AD828F-4D48-10DA-E8D5-CD8C922A8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733425</xdr:colOff>
      <xdr:row>66</xdr:row>
      <xdr:rowOff>185737</xdr:rowOff>
    </xdr:from>
    <xdr:to>
      <xdr:col>21</xdr:col>
      <xdr:colOff>733425</xdr:colOff>
      <xdr:row>81</xdr:row>
      <xdr:rowOff>71437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F88F0B35-92C6-1834-F656-A96591009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95250</xdr:colOff>
      <xdr:row>81</xdr:row>
      <xdr:rowOff>138112</xdr:rowOff>
    </xdr:from>
    <xdr:to>
      <xdr:col>22</xdr:col>
      <xdr:colOff>95250</xdr:colOff>
      <xdr:row>96</xdr:row>
      <xdr:rowOff>23812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5CA32324-8779-7891-25EE-D2712F216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B20F-6693-4742-97AC-2A4A474C417A}">
  <dimension ref="A1:L5"/>
  <sheetViews>
    <sheetView tabSelected="1" workbookViewId="0">
      <selection activeCell="L4" sqref="L4:L5"/>
    </sheetView>
  </sheetViews>
  <sheetFormatPr baseColWidth="10" defaultRowHeight="15" x14ac:dyDescent="0.25"/>
  <cols>
    <col min="1" max="9" width="11.42578125" style="1"/>
    <col min="10" max="10" width="17.85546875" style="1" bestFit="1" customWidth="1"/>
    <col min="11" max="16384" width="11.42578125" style="1"/>
  </cols>
  <sheetData>
    <row r="1" spans="1:12" x14ac:dyDescent="0.25">
      <c r="A1" s="1" t="s">
        <v>3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8</v>
      </c>
      <c r="H1" s="1" t="s">
        <v>11</v>
      </c>
      <c r="I1" s="1" t="s">
        <v>10</v>
      </c>
      <c r="J1" s="1" t="s">
        <v>13</v>
      </c>
      <c r="K1" s="1" t="s">
        <v>14</v>
      </c>
      <c r="L1" s="1" t="s">
        <v>20</v>
      </c>
    </row>
    <row r="2" spans="1:12" x14ac:dyDescent="0.25">
      <c r="A2" s="1">
        <v>0.72</v>
      </c>
      <c r="B2" s="1" t="s">
        <v>16</v>
      </c>
      <c r="C2" s="1" t="s">
        <v>4</v>
      </c>
      <c r="D2" s="1" t="s">
        <v>17</v>
      </c>
      <c r="E2" s="1">
        <v>26.91</v>
      </c>
      <c r="F2" s="1">
        <v>8.11</v>
      </c>
      <c r="G2" s="1">
        <f>E2/F2</f>
        <v>3.3181257706535146</v>
      </c>
      <c r="H2" s="1">
        <f>G2*A2</f>
        <v>2.3890505548705305</v>
      </c>
      <c r="I2" s="1" t="s">
        <v>9</v>
      </c>
      <c r="J2" s="1" t="s">
        <v>18</v>
      </c>
      <c r="K2" s="1" t="s">
        <v>15</v>
      </c>
      <c r="L2" s="1" t="s">
        <v>21</v>
      </c>
    </row>
    <row r="3" spans="1:12" x14ac:dyDescent="0.25">
      <c r="A3" s="1">
        <v>1.08</v>
      </c>
      <c r="B3" s="1" t="s">
        <v>16</v>
      </c>
      <c r="C3" s="1" t="s">
        <v>4</v>
      </c>
      <c r="D3" s="1" t="s">
        <v>17</v>
      </c>
      <c r="E3" s="1">
        <v>76.739999999999995</v>
      </c>
      <c r="F3" s="1">
        <v>10.69</v>
      </c>
      <c r="G3" s="1">
        <f>E3/F3</f>
        <v>7.1786716557530399</v>
      </c>
      <c r="H3" s="1">
        <f>G3*A3</f>
        <v>7.7529653882132834</v>
      </c>
      <c r="I3" s="1" t="s">
        <v>25</v>
      </c>
      <c r="J3" s="1" t="s">
        <v>19</v>
      </c>
      <c r="K3" s="1" t="s">
        <v>15</v>
      </c>
      <c r="L3" s="1" t="s">
        <v>21</v>
      </c>
    </row>
    <row r="4" spans="1:12" x14ac:dyDescent="0.25">
      <c r="A4" s="1">
        <v>1.45</v>
      </c>
      <c r="B4" s="1" t="s">
        <v>16</v>
      </c>
      <c r="C4" s="1" t="s">
        <v>4</v>
      </c>
      <c r="D4" s="1" t="s">
        <v>7</v>
      </c>
      <c r="E4" s="1">
        <v>26.36</v>
      </c>
      <c r="F4" s="1">
        <v>3.21</v>
      </c>
      <c r="G4" s="1">
        <f>E4/F4</f>
        <v>8.2118380062305292</v>
      </c>
      <c r="H4" s="1">
        <f>G4*A4</f>
        <v>11.907165109034267</v>
      </c>
      <c r="I4" s="1" t="s">
        <v>9</v>
      </c>
      <c r="J4" s="1" t="s">
        <v>12</v>
      </c>
      <c r="K4" s="1" t="s">
        <v>15</v>
      </c>
      <c r="L4" s="1" t="s">
        <v>21</v>
      </c>
    </row>
    <row r="5" spans="1:12" x14ac:dyDescent="0.25">
      <c r="A5" s="1">
        <v>2.78</v>
      </c>
      <c r="B5" s="1" t="s">
        <v>16</v>
      </c>
      <c r="C5" s="1" t="s">
        <v>22</v>
      </c>
      <c r="D5" s="1" t="s">
        <v>24</v>
      </c>
      <c r="E5" s="1">
        <v>93.73</v>
      </c>
      <c r="F5" s="1">
        <v>9.52</v>
      </c>
      <c r="G5" s="1">
        <f>E5/F5</f>
        <v>9.8455882352941178</v>
      </c>
      <c r="H5" s="1">
        <f>G5*A5</f>
        <v>27.370735294117644</v>
      </c>
      <c r="I5" s="1" t="s">
        <v>25</v>
      </c>
      <c r="J5" s="1" t="s">
        <v>23</v>
      </c>
      <c r="K5" s="1" t="s">
        <v>15</v>
      </c>
      <c r="L5" s="1" t="s">
        <v>21</v>
      </c>
    </row>
  </sheetData>
  <sortState xmlns:xlrd2="http://schemas.microsoft.com/office/spreadsheetml/2017/richdata2" ref="A2:L5">
    <sortCondition ref="A2:A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1735-8527-4639-A2F2-34598CBF6309}">
  <dimension ref="A1:O89"/>
  <sheetViews>
    <sheetView topLeftCell="B65" workbookViewId="0">
      <selection activeCell="L69" sqref="L69"/>
    </sheetView>
  </sheetViews>
  <sheetFormatPr baseColWidth="10" defaultRowHeight="15" x14ac:dyDescent="0.25"/>
  <cols>
    <col min="1" max="1" width="46.28515625" bestFit="1" customWidth="1"/>
    <col min="2" max="2" width="13.140625" bestFit="1" customWidth="1"/>
    <col min="3" max="3" width="22.85546875" bestFit="1" customWidth="1"/>
  </cols>
  <sheetData>
    <row r="1" spans="1:8" ht="15.75" thickBot="1" x14ac:dyDescent="0.3">
      <c r="B1" t="s">
        <v>26</v>
      </c>
      <c r="C1" t="s">
        <v>27</v>
      </c>
      <c r="D1" t="s">
        <v>37</v>
      </c>
      <c r="F1" t="s">
        <v>38</v>
      </c>
      <c r="G1" t="s">
        <v>39</v>
      </c>
      <c r="H1" t="s">
        <v>40</v>
      </c>
    </row>
    <row r="2" spans="1:8" x14ac:dyDescent="0.25">
      <c r="A2" t="s">
        <v>28</v>
      </c>
      <c r="B2">
        <v>40.4</v>
      </c>
      <c r="C2">
        <v>25.82</v>
      </c>
      <c r="D2">
        <f>B2*C2/100</f>
        <v>10.431279999999999</v>
      </c>
      <c r="E2" s="2" t="s">
        <v>28</v>
      </c>
      <c r="F2" s="3">
        <f>D2</f>
        <v>10.431279999999999</v>
      </c>
      <c r="G2" s="3">
        <f>B2</f>
        <v>40.4</v>
      </c>
      <c r="H2" s="4">
        <f>F2/G2*100</f>
        <v>25.82</v>
      </c>
    </row>
    <row r="3" spans="1:8" x14ac:dyDescent="0.25">
      <c r="A3" t="s">
        <v>29</v>
      </c>
      <c r="B3">
        <v>21.1</v>
      </c>
      <c r="C3">
        <v>25.61</v>
      </c>
      <c r="D3">
        <f t="shared" ref="D3:D9" si="0">B3*C3/100</f>
        <v>5.4037100000000002</v>
      </c>
      <c r="E3" s="5" t="s">
        <v>29</v>
      </c>
      <c r="F3">
        <f t="shared" ref="F3:F9" si="1">F2+D3</f>
        <v>15.834989999999999</v>
      </c>
      <c r="G3">
        <f t="shared" ref="G3:G9" si="2">B3+G2</f>
        <v>61.5</v>
      </c>
      <c r="H3" s="6">
        <f t="shared" ref="H3:H9" si="3">F3/G3*100</f>
        <v>25.747951219512196</v>
      </c>
    </row>
    <row r="4" spans="1:8" x14ac:dyDescent="0.25">
      <c r="A4" t="s">
        <v>30</v>
      </c>
      <c r="B4">
        <v>44.7</v>
      </c>
      <c r="C4">
        <v>24.4</v>
      </c>
      <c r="D4">
        <f t="shared" si="0"/>
        <v>10.9068</v>
      </c>
      <c r="E4" s="5" t="s">
        <v>30</v>
      </c>
      <c r="F4">
        <f t="shared" si="1"/>
        <v>26.741790000000002</v>
      </c>
      <c r="G4">
        <f t="shared" si="2"/>
        <v>106.2</v>
      </c>
      <c r="H4" s="6">
        <f t="shared" si="3"/>
        <v>25.180593220338981</v>
      </c>
    </row>
    <row r="5" spans="1:8" x14ac:dyDescent="0.25">
      <c r="A5" t="s">
        <v>31</v>
      </c>
      <c r="B5">
        <v>57.3</v>
      </c>
      <c r="C5">
        <v>22.92</v>
      </c>
      <c r="D5">
        <f t="shared" si="0"/>
        <v>13.13316</v>
      </c>
      <c r="E5" s="5" t="s">
        <v>31</v>
      </c>
      <c r="F5">
        <f t="shared" si="1"/>
        <v>39.874949999999998</v>
      </c>
      <c r="G5">
        <f t="shared" si="2"/>
        <v>163.5</v>
      </c>
      <c r="H5" s="6">
        <f t="shared" si="3"/>
        <v>24.388348623853208</v>
      </c>
    </row>
    <row r="6" spans="1:8" x14ac:dyDescent="0.25">
      <c r="A6" t="s">
        <v>32</v>
      </c>
      <c r="B6">
        <v>12.8</v>
      </c>
      <c r="C6">
        <v>18.440000000000001</v>
      </c>
      <c r="D6">
        <f t="shared" si="0"/>
        <v>2.3603200000000002</v>
      </c>
      <c r="E6" s="5" t="s">
        <v>32</v>
      </c>
      <c r="F6">
        <f t="shared" si="1"/>
        <v>42.23527</v>
      </c>
      <c r="G6">
        <f t="shared" si="2"/>
        <v>176.3</v>
      </c>
      <c r="H6" s="6">
        <f t="shared" si="3"/>
        <v>23.956477595008508</v>
      </c>
    </row>
    <row r="7" spans="1:8" x14ac:dyDescent="0.25">
      <c r="A7" t="s">
        <v>33</v>
      </c>
      <c r="B7">
        <v>14.4</v>
      </c>
      <c r="C7">
        <v>7.75</v>
      </c>
      <c r="D7">
        <f t="shared" si="0"/>
        <v>1.1160000000000001</v>
      </c>
      <c r="E7" s="5" t="s">
        <v>41</v>
      </c>
      <c r="F7">
        <f t="shared" si="1"/>
        <v>43.35127</v>
      </c>
      <c r="G7">
        <f t="shared" si="2"/>
        <v>190.70000000000002</v>
      </c>
      <c r="H7" s="6">
        <f t="shared" si="3"/>
        <v>22.732705820660719</v>
      </c>
    </row>
    <row r="8" spans="1:8" x14ac:dyDescent="0.25">
      <c r="A8" t="s">
        <v>34</v>
      </c>
      <c r="B8">
        <v>100</v>
      </c>
      <c r="C8">
        <v>1.6579999999999999</v>
      </c>
      <c r="D8">
        <f t="shared" si="0"/>
        <v>1.6579999999999999</v>
      </c>
      <c r="E8" s="5" t="s">
        <v>42</v>
      </c>
      <c r="F8">
        <f t="shared" si="1"/>
        <v>45.009270000000001</v>
      </c>
      <c r="G8">
        <f t="shared" si="2"/>
        <v>290.70000000000005</v>
      </c>
      <c r="H8" s="6">
        <f t="shared" si="3"/>
        <v>15.483065015479875</v>
      </c>
    </row>
    <row r="9" spans="1:8" ht="15.75" thickBot="1" x14ac:dyDescent="0.3">
      <c r="A9" t="s">
        <v>35</v>
      </c>
      <c r="B9">
        <v>749.4</v>
      </c>
      <c r="C9">
        <v>0.39400000000000002</v>
      </c>
      <c r="D9">
        <f t="shared" si="0"/>
        <v>2.952636</v>
      </c>
      <c r="E9" s="7" t="s">
        <v>36</v>
      </c>
      <c r="F9" s="8">
        <f t="shared" si="1"/>
        <v>47.961905999999999</v>
      </c>
      <c r="G9" s="8">
        <f t="shared" si="2"/>
        <v>1040.0999999999999</v>
      </c>
      <c r="H9" s="9">
        <f t="shared" si="3"/>
        <v>4.6112783386212861</v>
      </c>
    </row>
    <row r="10" spans="1:8" x14ac:dyDescent="0.25">
      <c r="A10" t="s">
        <v>36</v>
      </c>
      <c r="B10">
        <f>SUM(B2:B9)</f>
        <v>1040.0999999999999</v>
      </c>
      <c r="C10">
        <f>D10/B10*100</f>
        <v>4.6112783386212861</v>
      </c>
      <c r="D10">
        <f>SUM(D2:D9)</f>
        <v>47.961905999999999</v>
      </c>
    </row>
    <row r="12" spans="1:8" x14ac:dyDescent="0.25">
      <c r="A12" t="s">
        <v>41</v>
      </c>
      <c r="F12">
        <f t="shared" ref="F12:H13" si="4">F7</f>
        <v>43.35127</v>
      </c>
      <c r="G12">
        <f t="shared" si="4"/>
        <v>190.70000000000002</v>
      </c>
      <c r="H12">
        <f t="shared" si="4"/>
        <v>22.732705820660719</v>
      </c>
    </row>
    <row r="13" spans="1:8" x14ac:dyDescent="0.25">
      <c r="A13" t="s">
        <v>42</v>
      </c>
      <c r="F13">
        <f t="shared" si="4"/>
        <v>45.009270000000001</v>
      </c>
      <c r="G13">
        <f t="shared" si="4"/>
        <v>290.70000000000005</v>
      </c>
      <c r="H13">
        <f t="shared" si="4"/>
        <v>15.483065015479875</v>
      </c>
    </row>
    <row r="16" spans="1:8" x14ac:dyDescent="0.25">
      <c r="A16" t="s">
        <v>36</v>
      </c>
      <c r="B16" t="s">
        <v>46</v>
      </c>
      <c r="C16" t="s">
        <v>45</v>
      </c>
    </row>
    <row r="17" spans="1:5" x14ac:dyDescent="0.25">
      <c r="A17">
        <v>4.6112783386212861</v>
      </c>
      <c r="B17">
        <v>47.961905999999999</v>
      </c>
      <c r="C17">
        <v>1040.0999999999999</v>
      </c>
    </row>
    <row r="21" spans="1:5" ht="15.75" thickBot="1" x14ac:dyDescent="0.3">
      <c r="C21" t="s">
        <v>43</v>
      </c>
      <c r="D21" t="s">
        <v>44</v>
      </c>
      <c r="E21" t="s">
        <v>8</v>
      </c>
    </row>
    <row r="22" spans="1:5" x14ac:dyDescent="0.25">
      <c r="B22" s="2" t="s">
        <v>28</v>
      </c>
      <c r="C22">
        <f>G2/$C$17*100</f>
        <v>3.8842418998173258</v>
      </c>
      <c r="D22">
        <f>F2/$B$17*100</f>
        <v>21.749093958025771</v>
      </c>
      <c r="E22">
        <f>D22/C22</f>
        <v>5.5993150063719312</v>
      </c>
    </row>
    <row r="23" spans="1:5" x14ac:dyDescent="0.25">
      <c r="B23" s="5" t="s">
        <v>29</v>
      </c>
      <c r="C23">
        <f t="shared" ref="C23:C27" si="5">G3/$C$17*100</f>
        <v>5.9128929910585528</v>
      </c>
      <c r="D23">
        <f t="shared" ref="D23:D27" si="6">F3/$B$17*100</f>
        <v>33.015764636209411</v>
      </c>
      <c r="E23">
        <f t="shared" ref="E23:E28" si="7">D23/C23</f>
        <v>5.583690536279903</v>
      </c>
    </row>
    <row r="24" spans="1:5" x14ac:dyDescent="0.25">
      <c r="B24" s="5" t="s">
        <v>30</v>
      </c>
      <c r="C24">
        <f t="shared" si="5"/>
        <v>10.210556677242574</v>
      </c>
      <c r="D24">
        <f t="shared" si="6"/>
        <v>55.756312103192904</v>
      </c>
      <c r="E24">
        <f t="shared" si="7"/>
        <v>5.4606535045697679</v>
      </c>
    </row>
    <row r="25" spans="1:5" x14ac:dyDescent="0.25">
      <c r="B25" s="5" t="s">
        <v>31</v>
      </c>
      <c r="C25">
        <f t="shared" si="5"/>
        <v>15.719642342082492</v>
      </c>
      <c r="D25">
        <f t="shared" si="6"/>
        <v>83.138793525011295</v>
      </c>
      <c r="E25">
        <f t="shared" si="7"/>
        <v>5.2888476541507181</v>
      </c>
    </row>
    <row r="26" spans="1:5" x14ac:dyDescent="0.25">
      <c r="B26" s="5" t="s">
        <v>32</v>
      </c>
      <c r="C26">
        <f t="shared" si="5"/>
        <v>16.950293241034519</v>
      </c>
      <c r="D26">
        <f t="shared" si="6"/>
        <v>88.060032476607589</v>
      </c>
      <c r="E26">
        <f t="shared" si="7"/>
        <v>5.1951922733363318</v>
      </c>
    </row>
    <row r="27" spans="1:5" x14ac:dyDescent="0.25">
      <c r="B27" s="5" t="s">
        <v>41</v>
      </c>
      <c r="C27">
        <f t="shared" si="5"/>
        <v>18.334775502355548</v>
      </c>
      <c r="D27">
        <f t="shared" si="6"/>
        <v>90.386879120275168</v>
      </c>
      <c r="E27">
        <f t="shared" si="7"/>
        <v>4.9298056094912521</v>
      </c>
    </row>
    <row r="28" spans="1:5" x14ac:dyDescent="0.25">
      <c r="B28" s="5" t="s">
        <v>42</v>
      </c>
      <c r="C28">
        <f t="shared" ref="C28" si="8">G8/$C$17*100</f>
        <v>27.949235650418235</v>
      </c>
      <c r="D28">
        <f t="shared" ref="D28" si="9">F8/$B$17*100</f>
        <v>93.843789277265174</v>
      </c>
      <c r="E28">
        <f t="shared" si="7"/>
        <v>3.3576513666076191</v>
      </c>
    </row>
    <row r="37" spans="1:15" x14ac:dyDescent="0.25">
      <c r="A37" t="s">
        <v>47</v>
      </c>
    </row>
    <row r="38" spans="1:15" x14ac:dyDescent="0.25">
      <c r="A38" t="s">
        <v>48</v>
      </c>
      <c r="B38" t="s">
        <v>49</v>
      </c>
      <c r="C38" t="s">
        <v>50</v>
      </c>
      <c r="D38" t="s">
        <v>26</v>
      </c>
      <c r="E38" t="s">
        <v>51</v>
      </c>
      <c r="F38" t="s">
        <v>52</v>
      </c>
      <c r="G38" t="s">
        <v>53</v>
      </c>
      <c r="H38" t="s">
        <v>27</v>
      </c>
      <c r="I38" t="s">
        <v>54</v>
      </c>
      <c r="J38" t="s">
        <v>55</v>
      </c>
      <c r="K38" t="s">
        <v>56</v>
      </c>
      <c r="L38" t="s">
        <v>57</v>
      </c>
      <c r="M38" t="s">
        <v>58</v>
      </c>
      <c r="N38" t="s">
        <v>59</v>
      </c>
      <c r="O38" t="s">
        <v>60</v>
      </c>
    </row>
    <row r="39" spans="1:15" x14ac:dyDescent="0.25">
      <c r="A39" t="s">
        <v>61</v>
      </c>
      <c r="B39">
        <v>0.5</v>
      </c>
      <c r="C39">
        <v>0.5</v>
      </c>
      <c r="D39">
        <v>40.4</v>
      </c>
      <c r="E39">
        <v>91.399999999999977</v>
      </c>
      <c r="F39">
        <v>44.201312910284472</v>
      </c>
      <c r="G39">
        <v>40.4</v>
      </c>
      <c r="H39">
        <v>25.82</v>
      </c>
      <c r="I39">
        <v>25.82</v>
      </c>
      <c r="J39">
        <v>21.749093958025767</v>
      </c>
      <c r="K39">
        <v>3.8842418998173258</v>
      </c>
      <c r="L39">
        <v>3.8842418998173258</v>
      </c>
      <c r="M39">
        <v>24.7</v>
      </c>
      <c r="N39">
        <v>24.7</v>
      </c>
      <c r="O39">
        <v>9.308382376124392</v>
      </c>
    </row>
    <row r="40" spans="1:15" x14ac:dyDescent="0.25">
      <c r="A40" t="s">
        <v>62</v>
      </c>
      <c r="B40">
        <v>0.5</v>
      </c>
      <c r="C40">
        <v>1</v>
      </c>
      <c r="D40">
        <v>21.1</v>
      </c>
      <c r="E40">
        <v>48.300000000000011</v>
      </c>
      <c r="F40">
        <v>43.685300207039326</v>
      </c>
      <c r="G40">
        <v>61.5</v>
      </c>
      <c r="H40">
        <v>25.61</v>
      </c>
      <c r="I40">
        <v>25.747951219512192</v>
      </c>
      <c r="J40">
        <v>33.015764636209397</v>
      </c>
      <c r="K40">
        <v>2.028651091241227</v>
      </c>
      <c r="L40">
        <v>5.9128929910585528</v>
      </c>
      <c r="M40">
        <v>23.6</v>
      </c>
      <c r="N40">
        <v>24.322601626016258</v>
      </c>
      <c r="O40">
        <v>13.953431969276778</v>
      </c>
    </row>
    <row r="41" spans="1:15" x14ac:dyDescent="0.25">
      <c r="A41" t="s">
        <v>63</v>
      </c>
      <c r="B41">
        <v>1</v>
      </c>
      <c r="C41">
        <v>2</v>
      </c>
      <c r="D41">
        <v>44.7</v>
      </c>
      <c r="E41">
        <v>93.800000000000011</v>
      </c>
      <c r="F41">
        <v>47.654584221748394</v>
      </c>
      <c r="G41">
        <v>106.2</v>
      </c>
      <c r="H41">
        <v>24.4</v>
      </c>
      <c r="I41">
        <v>25.180593220338984</v>
      </c>
      <c r="J41">
        <v>55.756312103192883</v>
      </c>
      <c r="K41">
        <v>4.2976636861840216</v>
      </c>
      <c r="L41">
        <v>10.210556677242575</v>
      </c>
      <c r="M41">
        <v>24.2</v>
      </c>
      <c r="N41">
        <v>24.270998116760826</v>
      </c>
      <c r="O41">
        <v>24.044073681254975</v>
      </c>
    </row>
    <row r="42" spans="1:15" x14ac:dyDescent="0.25">
      <c r="A42" t="s">
        <v>64</v>
      </c>
      <c r="B42">
        <v>4</v>
      </c>
      <c r="C42">
        <v>6</v>
      </c>
      <c r="D42">
        <v>57.3</v>
      </c>
      <c r="E42">
        <v>211.79999999999995</v>
      </c>
      <c r="F42">
        <v>27.053824362606239</v>
      </c>
      <c r="G42">
        <v>163.5</v>
      </c>
      <c r="H42">
        <v>22.92</v>
      </c>
      <c r="I42">
        <v>24.388348623853211</v>
      </c>
      <c r="J42">
        <v>83.138793525011266</v>
      </c>
      <c r="K42">
        <v>5.5090856648399198</v>
      </c>
      <c r="L42">
        <v>15.719642342082494</v>
      </c>
      <c r="M42">
        <v>22.9</v>
      </c>
      <c r="N42">
        <v>23.790519877675841</v>
      </c>
      <c r="O42">
        <v>36.284202857587943</v>
      </c>
    </row>
    <row r="43" spans="1:15" x14ac:dyDescent="0.25">
      <c r="A43" t="s">
        <v>65</v>
      </c>
      <c r="B43">
        <v>4</v>
      </c>
      <c r="C43">
        <v>10</v>
      </c>
      <c r="D43">
        <v>12.8</v>
      </c>
      <c r="E43">
        <v>164.79999999999995</v>
      </c>
      <c r="F43">
        <v>7.7669902912621378</v>
      </c>
      <c r="G43">
        <v>176.3</v>
      </c>
      <c r="H43">
        <v>18.440000000000001</v>
      </c>
      <c r="I43">
        <v>23.956477595008508</v>
      </c>
      <c r="J43">
        <v>88.06003247660756</v>
      </c>
      <c r="K43">
        <v>1.2306508989520242</v>
      </c>
      <c r="L43">
        <v>16.950293241034519</v>
      </c>
      <c r="M43">
        <v>18.3</v>
      </c>
      <c r="N43">
        <v>23.391888825864999</v>
      </c>
      <c r="O43">
        <v>38.469230604194124</v>
      </c>
    </row>
    <row r="44" spans="1:15" x14ac:dyDescent="0.25">
      <c r="A44" t="s">
        <v>66</v>
      </c>
      <c r="D44">
        <v>14.4</v>
      </c>
      <c r="E44">
        <v>2440.6</v>
      </c>
      <c r="F44">
        <v>0.59001884782430547</v>
      </c>
      <c r="G44">
        <v>190.70000000000002</v>
      </c>
      <c r="H44">
        <v>7.75</v>
      </c>
      <c r="I44">
        <v>22.732705820660723</v>
      </c>
      <c r="J44">
        <v>90.386879120275154</v>
      </c>
      <c r="K44">
        <v>1.384482261321027</v>
      </c>
      <c r="L44">
        <v>18.334775502355544</v>
      </c>
      <c r="M44">
        <v>3.9</v>
      </c>
      <c r="N44">
        <v>21.920031463030934</v>
      </c>
      <c r="O44">
        <v>38.993099961474705</v>
      </c>
    </row>
    <row r="45" spans="1:15" x14ac:dyDescent="0.25">
      <c r="A45" t="s">
        <v>67</v>
      </c>
      <c r="B45">
        <v>14</v>
      </c>
      <c r="D45">
        <v>100</v>
      </c>
      <c r="E45">
        <v>3310.5</v>
      </c>
      <c r="F45">
        <v>3.0206917384080954</v>
      </c>
      <c r="G45">
        <v>290.70000000000005</v>
      </c>
      <c r="H45">
        <v>1.6579999999999999</v>
      </c>
      <c r="I45">
        <v>15.483065015479875</v>
      </c>
      <c r="J45">
        <v>93.843789277265159</v>
      </c>
      <c r="K45">
        <v>9.6144601480626868</v>
      </c>
      <c r="L45">
        <v>27.949235650418231</v>
      </c>
      <c r="M45">
        <v>3.95</v>
      </c>
      <c r="N45">
        <v>15.738390092879254</v>
      </c>
      <c r="O45">
        <v>42.677722399612691</v>
      </c>
    </row>
    <row r="46" spans="1:15" x14ac:dyDescent="0.25">
      <c r="A46" t="s">
        <v>68</v>
      </c>
      <c r="B46">
        <v>16</v>
      </c>
      <c r="D46">
        <v>749.4</v>
      </c>
      <c r="E46">
        <v>5243.9</v>
      </c>
      <c r="F46">
        <v>14.290890367855985</v>
      </c>
      <c r="G46">
        <v>1040.0999999999999</v>
      </c>
      <c r="H46">
        <v>0.39400000000000002</v>
      </c>
      <c r="I46">
        <v>4.6112783386212879</v>
      </c>
      <c r="J46">
        <v>100</v>
      </c>
      <c r="K46">
        <v>72.050764349581769</v>
      </c>
      <c r="L46">
        <v>100</v>
      </c>
      <c r="M46">
        <v>8.1999999999999993</v>
      </c>
      <c r="N46">
        <v>10.306922411306605</v>
      </c>
      <c r="O46">
        <v>100</v>
      </c>
    </row>
    <row r="47" spans="1:15" x14ac:dyDescent="0.25">
      <c r="A47" t="s">
        <v>69</v>
      </c>
      <c r="D47">
        <v>1040.0999999999999</v>
      </c>
      <c r="E47">
        <v>11605.099999999999</v>
      </c>
      <c r="F47">
        <v>8.9624389277128174</v>
      </c>
    </row>
    <row r="48" spans="1:15" x14ac:dyDescent="0.25">
      <c r="A48" t="s">
        <v>70</v>
      </c>
      <c r="I48">
        <v>4.7359999999999998</v>
      </c>
    </row>
    <row r="49" spans="1:9" x14ac:dyDescent="0.25">
      <c r="A49" t="s">
        <v>71</v>
      </c>
      <c r="I49">
        <v>4.6112783386212879</v>
      </c>
    </row>
    <row r="50" spans="1:9" x14ac:dyDescent="0.25">
      <c r="A50" t="s">
        <v>72</v>
      </c>
      <c r="I50">
        <v>2.6334810257329366E-2</v>
      </c>
    </row>
    <row r="67" spans="1:15" x14ac:dyDescent="0.25">
      <c r="A67" t="s">
        <v>73</v>
      </c>
      <c r="B67" t="s">
        <v>74</v>
      </c>
      <c r="L67">
        <v>100</v>
      </c>
    </row>
    <row r="68" spans="1:15" x14ac:dyDescent="0.25">
      <c r="A68" t="s">
        <v>75</v>
      </c>
      <c r="B68" t="s">
        <v>49</v>
      </c>
      <c r="C68" t="s">
        <v>50</v>
      </c>
      <c r="D68" t="s">
        <v>26</v>
      </c>
      <c r="E68" t="s">
        <v>51</v>
      </c>
      <c r="F68" t="s">
        <v>52</v>
      </c>
      <c r="G68" t="s">
        <v>53</v>
      </c>
      <c r="H68" t="s">
        <v>27</v>
      </c>
      <c r="I68" t="s">
        <v>54</v>
      </c>
      <c r="J68" t="s">
        <v>55</v>
      </c>
      <c r="K68" t="s">
        <v>56</v>
      </c>
      <c r="L68" t="s">
        <v>57</v>
      </c>
      <c r="M68" t="s">
        <v>58</v>
      </c>
      <c r="N68" t="s">
        <v>59</v>
      </c>
      <c r="O68" t="s">
        <v>60</v>
      </c>
    </row>
    <row r="69" spans="1:15" x14ac:dyDescent="0.25">
      <c r="A69" t="s">
        <v>61</v>
      </c>
      <c r="B69">
        <v>0.5</v>
      </c>
      <c r="C69">
        <v>0.5</v>
      </c>
      <c r="D69">
        <v>1.3</v>
      </c>
      <c r="E69">
        <v>16.899999999999977</v>
      </c>
      <c r="F69">
        <v>7.6923076923077023</v>
      </c>
      <c r="G69">
        <v>1.3</v>
      </c>
      <c r="H69">
        <v>27.92</v>
      </c>
      <c r="I69">
        <v>27.920000000000005</v>
      </c>
      <c r="J69">
        <v>6.2875366596855207</v>
      </c>
      <c r="K69">
        <v>0.17184401850627892</v>
      </c>
      <c r="L69">
        <v>0.17184401850627892</v>
      </c>
      <c r="M69">
        <v>19.100000000000001</v>
      </c>
      <c r="N69">
        <v>19.100000000000001</v>
      </c>
      <c r="O69">
        <v>1.2293332884442671</v>
      </c>
    </row>
    <row r="70" spans="1:15" x14ac:dyDescent="0.25">
      <c r="A70" t="s">
        <v>62</v>
      </c>
      <c r="B70">
        <v>1</v>
      </c>
      <c r="C70">
        <v>1.5</v>
      </c>
      <c r="D70">
        <v>1.1000000000000001</v>
      </c>
      <c r="E70">
        <v>14.800000000000011</v>
      </c>
      <c r="F70">
        <v>7.4324324324324271</v>
      </c>
      <c r="G70">
        <v>2.4000000000000004</v>
      </c>
      <c r="H70">
        <v>26.75</v>
      </c>
      <c r="I70">
        <v>27.383749999999999</v>
      </c>
      <c r="J70">
        <v>11.384813665726032</v>
      </c>
      <c r="K70">
        <v>0.14540647719762065</v>
      </c>
      <c r="L70">
        <v>0.31725049570389957</v>
      </c>
      <c r="M70">
        <v>18.7</v>
      </c>
      <c r="N70">
        <v>18.916666666666668</v>
      </c>
      <c r="O70">
        <v>2.2477539788711134</v>
      </c>
    </row>
    <row r="71" spans="1:15" x14ac:dyDescent="0.25">
      <c r="A71" t="s">
        <v>63</v>
      </c>
      <c r="B71">
        <v>2</v>
      </c>
      <c r="C71">
        <v>3.5</v>
      </c>
      <c r="D71">
        <v>0.9</v>
      </c>
      <c r="E71">
        <v>22.5</v>
      </c>
      <c r="F71">
        <v>4</v>
      </c>
      <c r="G71">
        <v>3.3000000000000003</v>
      </c>
      <c r="H71">
        <v>26.15</v>
      </c>
      <c r="I71">
        <v>27.047272727272727</v>
      </c>
      <c r="J71">
        <v>15.46176912323371</v>
      </c>
      <c r="K71">
        <v>0.11896893588896233</v>
      </c>
      <c r="L71">
        <v>0.43621943159286192</v>
      </c>
      <c r="M71">
        <v>18.2</v>
      </c>
      <c r="N71">
        <v>18.721212121212119</v>
      </c>
      <c r="O71">
        <v>3.058727771247959</v>
      </c>
    </row>
    <row r="72" spans="1:15" x14ac:dyDescent="0.25">
      <c r="A72" t="s">
        <v>64</v>
      </c>
      <c r="B72">
        <v>6</v>
      </c>
      <c r="C72">
        <v>9.5</v>
      </c>
      <c r="D72">
        <v>1.6</v>
      </c>
      <c r="E72">
        <v>37.400000000000034</v>
      </c>
      <c r="F72">
        <v>4.2780748663101571</v>
      </c>
      <c r="G72">
        <v>4.9000000000000004</v>
      </c>
      <c r="H72">
        <v>26.05</v>
      </c>
      <c r="I72">
        <v>26.721632653061224</v>
      </c>
      <c r="J72">
        <v>22.68197322218931</v>
      </c>
      <c r="K72">
        <v>0.21150033046926636</v>
      </c>
      <c r="L72">
        <v>0.64771976206212822</v>
      </c>
      <c r="M72">
        <v>18.3</v>
      </c>
      <c r="N72">
        <v>18.583673469387755</v>
      </c>
      <c r="O72">
        <v>4.5083805576212228</v>
      </c>
    </row>
    <row r="73" spans="1:15" x14ac:dyDescent="0.25">
      <c r="A73" t="s">
        <v>65</v>
      </c>
      <c r="B73">
        <v>10</v>
      </c>
      <c r="C73">
        <v>19.5</v>
      </c>
      <c r="D73">
        <v>1.9</v>
      </c>
      <c r="E73">
        <v>72.300000000000011</v>
      </c>
      <c r="F73">
        <v>2.6279391424619636</v>
      </c>
      <c r="G73">
        <v>6.8000000000000007</v>
      </c>
      <c r="H73">
        <v>22.04</v>
      </c>
      <c r="I73">
        <v>25.413529411764706</v>
      </c>
      <c r="J73">
        <v>29.936130296274357</v>
      </c>
      <c r="K73">
        <v>0.25115664243225377</v>
      </c>
      <c r="L73">
        <v>0.898876404494382</v>
      </c>
      <c r="M73">
        <v>16.899999999999999</v>
      </c>
      <c r="N73">
        <v>18.113235294117644</v>
      </c>
      <c r="O73">
        <v>6.0981466426774213</v>
      </c>
    </row>
    <row r="74" spans="1:15" x14ac:dyDescent="0.25">
      <c r="A74" t="s">
        <v>66</v>
      </c>
      <c r="D74">
        <v>23.5</v>
      </c>
      <c r="E74">
        <v>799.09999999999991</v>
      </c>
      <c r="F74">
        <v>2.9408084094606437</v>
      </c>
      <c r="G74">
        <v>30.3</v>
      </c>
      <c r="H74">
        <v>10.27</v>
      </c>
      <c r="I74">
        <v>13.66854785478548</v>
      </c>
      <c r="J74">
        <v>71.744195513703318</v>
      </c>
      <c r="K74">
        <v>3.1064111037673494</v>
      </c>
      <c r="L74">
        <v>4.0052875082617314</v>
      </c>
      <c r="M74">
        <v>12.2</v>
      </c>
      <c r="N74">
        <v>13.527062706270627</v>
      </c>
      <c r="O74">
        <v>20.292663509248964</v>
      </c>
    </row>
    <row r="75" spans="1:15" x14ac:dyDescent="0.25">
      <c r="A75" t="s">
        <v>67</v>
      </c>
      <c r="D75">
        <v>138</v>
      </c>
      <c r="E75">
        <v>1502.2</v>
      </c>
      <c r="F75">
        <v>9.1865264279057381</v>
      </c>
      <c r="G75">
        <v>168.3</v>
      </c>
      <c r="H75">
        <v>0.5</v>
      </c>
      <c r="I75">
        <v>2.8708080808080809</v>
      </c>
      <c r="J75">
        <v>83.697028594987785</v>
      </c>
      <c r="K75">
        <v>18.241903502974225</v>
      </c>
      <c r="L75">
        <v>22.247191011235955</v>
      </c>
      <c r="M75">
        <v>2.63</v>
      </c>
      <c r="N75">
        <v>4.5918597742127147</v>
      </c>
      <c r="O75">
        <v>38.261822740338864</v>
      </c>
    </row>
    <row r="76" spans="1:15" x14ac:dyDescent="0.25">
      <c r="A76" t="s">
        <v>68</v>
      </c>
      <c r="D76">
        <v>588.20000000000005</v>
      </c>
      <c r="E76">
        <v>3173.2999999999997</v>
      </c>
      <c r="F76">
        <v>18.535908990640664</v>
      </c>
      <c r="G76">
        <v>756.5</v>
      </c>
      <c r="H76">
        <v>0.16</v>
      </c>
      <c r="I76">
        <v>0.76307865168539324</v>
      </c>
      <c r="J76">
        <v>100</v>
      </c>
      <c r="K76">
        <v>77.752808988764059</v>
      </c>
      <c r="M76">
        <v>2.12</v>
      </c>
      <c r="N76">
        <v>2.6699193654990085</v>
      </c>
      <c r="O76">
        <v>100</v>
      </c>
    </row>
    <row r="77" spans="1:15" x14ac:dyDescent="0.25">
      <c r="A77" t="s">
        <v>69</v>
      </c>
      <c r="D77">
        <v>756.5</v>
      </c>
    </row>
    <row r="80" spans="1:15" x14ac:dyDescent="0.25">
      <c r="A80" t="s">
        <v>76</v>
      </c>
      <c r="B80" t="s">
        <v>74</v>
      </c>
    </row>
    <row r="81" spans="1:15" x14ac:dyDescent="0.25">
      <c r="A81" t="s">
        <v>77</v>
      </c>
      <c r="B81" t="s">
        <v>49</v>
      </c>
      <c r="C81" t="s">
        <v>50</v>
      </c>
      <c r="D81" t="s">
        <v>26</v>
      </c>
      <c r="E81" t="s">
        <v>51</v>
      </c>
      <c r="F81" t="s">
        <v>52</v>
      </c>
      <c r="G81" t="s">
        <v>53</v>
      </c>
      <c r="H81" t="s">
        <v>27</v>
      </c>
      <c r="I81" t="s">
        <v>54</v>
      </c>
      <c r="J81" t="s">
        <v>55</v>
      </c>
      <c r="K81" t="s">
        <v>56</v>
      </c>
      <c r="L81" t="s">
        <v>57</v>
      </c>
      <c r="M81" t="s">
        <v>58</v>
      </c>
      <c r="N81" t="s">
        <v>59</v>
      </c>
      <c r="O81" t="s">
        <v>60</v>
      </c>
    </row>
    <row r="82" spans="1:15" x14ac:dyDescent="0.25">
      <c r="A82" t="s">
        <v>61</v>
      </c>
      <c r="B82">
        <v>0.5</v>
      </c>
      <c r="C82">
        <v>0.5</v>
      </c>
      <c r="D82">
        <v>5.5</v>
      </c>
      <c r="E82">
        <v>19.899999999999977</v>
      </c>
      <c r="F82">
        <v>27.638190954773901</v>
      </c>
      <c r="G82">
        <v>5.5</v>
      </c>
      <c r="H82">
        <v>21</v>
      </c>
      <c r="I82">
        <v>21</v>
      </c>
      <c r="J82">
        <v>14.953721146115335</v>
      </c>
      <c r="K82">
        <v>0.72703238598810316</v>
      </c>
      <c r="L82">
        <v>0.72703238598810316</v>
      </c>
      <c r="M82">
        <v>17.8</v>
      </c>
      <c r="N82">
        <v>17.8</v>
      </c>
      <c r="O82">
        <v>2.5162942259914951</v>
      </c>
    </row>
    <row r="83" spans="1:15" x14ac:dyDescent="0.25">
      <c r="A83" t="s">
        <v>62</v>
      </c>
      <c r="B83">
        <v>1</v>
      </c>
      <c r="C83">
        <v>1.5</v>
      </c>
      <c r="D83">
        <v>4.0999999999999996</v>
      </c>
      <c r="E83">
        <v>20.399999999999977</v>
      </c>
      <c r="F83">
        <v>20.098039215686295</v>
      </c>
      <c r="G83">
        <v>9.6</v>
      </c>
      <c r="H83">
        <v>18.77</v>
      </c>
      <c r="I83">
        <v>20.047604166666666</v>
      </c>
      <c r="J83">
        <v>24.917301390631334</v>
      </c>
      <c r="K83">
        <v>0.54196959682749501</v>
      </c>
      <c r="L83">
        <v>1.2690019828155981</v>
      </c>
      <c r="M83">
        <v>17.399999999999999</v>
      </c>
      <c r="N83">
        <v>17.62916666666667</v>
      </c>
      <c r="O83">
        <v>4.3499247682002116</v>
      </c>
    </row>
    <row r="84" spans="1:15" x14ac:dyDescent="0.25">
      <c r="A84" t="s">
        <v>63</v>
      </c>
      <c r="B84">
        <v>2</v>
      </c>
      <c r="C84">
        <v>3.5</v>
      </c>
      <c r="D84">
        <v>6.1</v>
      </c>
      <c r="E84">
        <v>36.199999999999989</v>
      </c>
      <c r="F84">
        <v>16.850828729281773</v>
      </c>
      <c r="G84">
        <v>15.7</v>
      </c>
      <c r="H84">
        <v>16.89</v>
      </c>
      <c r="I84">
        <v>18.820764331210192</v>
      </c>
      <c r="J84">
        <v>38.256409061307671</v>
      </c>
      <c r="K84">
        <v>0.80634500991407787</v>
      </c>
      <c r="L84">
        <v>2.0753469927296759</v>
      </c>
      <c r="M84">
        <v>16.600000000000001</v>
      </c>
      <c r="N84">
        <v>17.229299363057326</v>
      </c>
      <c r="O84">
        <v>6.9525800626220571</v>
      </c>
    </row>
    <row r="85" spans="1:15" x14ac:dyDescent="0.25">
      <c r="A85" t="s">
        <v>64</v>
      </c>
      <c r="B85">
        <v>6</v>
      </c>
      <c r="C85">
        <v>9.5</v>
      </c>
      <c r="D85">
        <v>12.2</v>
      </c>
      <c r="E85">
        <v>50.800000000000011</v>
      </c>
      <c r="F85">
        <v>24.015748031496056</v>
      </c>
      <c r="G85">
        <v>27.9</v>
      </c>
      <c r="H85">
        <v>11.83</v>
      </c>
      <c r="I85">
        <v>15.763870967741937</v>
      </c>
      <c r="J85">
        <v>56.942216491041364</v>
      </c>
      <c r="K85">
        <v>1.6126900198281557</v>
      </c>
      <c r="L85">
        <v>3.6880370125578317</v>
      </c>
      <c r="M85">
        <v>14.6</v>
      </c>
      <c r="N85">
        <v>16.079569892473121</v>
      </c>
      <c r="O85">
        <v>11.530744797388198</v>
      </c>
    </row>
    <row r="86" spans="1:15" x14ac:dyDescent="0.25">
      <c r="A86" t="s">
        <v>65</v>
      </c>
      <c r="B86">
        <v>10</v>
      </c>
      <c r="C86">
        <v>19.5</v>
      </c>
      <c r="D86">
        <v>5.9</v>
      </c>
      <c r="E86">
        <v>139.90000000000003</v>
      </c>
      <c r="F86">
        <v>4.2172980700500347</v>
      </c>
      <c r="G86">
        <v>33.799999999999997</v>
      </c>
      <c r="H86">
        <v>7.67</v>
      </c>
      <c r="I86">
        <v>14.351035502958581</v>
      </c>
      <c r="J86">
        <v>62.801097383034069</v>
      </c>
      <c r="K86">
        <v>0.77990746860541971</v>
      </c>
      <c r="L86">
        <v>4.4679444811632516</v>
      </c>
      <c r="M86">
        <v>12.7</v>
      </c>
      <c r="N86">
        <v>15.489644970414201</v>
      </c>
      <c r="O86">
        <v>13.456648028782912</v>
      </c>
    </row>
    <row r="87" spans="1:15" x14ac:dyDescent="0.25">
      <c r="A87" t="s">
        <v>66</v>
      </c>
      <c r="D87">
        <v>31.2</v>
      </c>
      <c r="E87">
        <v>768.30000000000007</v>
      </c>
      <c r="F87">
        <v>4.0609137055837561</v>
      </c>
      <c r="G87">
        <v>65</v>
      </c>
      <c r="H87">
        <v>4.3600000000000003</v>
      </c>
      <c r="I87">
        <v>9.5553384615384616</v>
      </c>
      <c r="J87">
        <v>80.413085218084817</v>
      </c>
      <c r="K87">
        <v>4.1242564441506939</v>
      </c>
      <c r="L87">
        <v>8.5922009253139464</v>
      </c>
      <c r="M87">
        <v>11.9</v>
      </c>
      <c r="N87">
        <v>13.766615384615383</v>
      </c>
      <c r="O87">
        <v>22.999546090336764</v>
      </c>
    </row>
    <row r="88" spans="1:15" x14ac:dyDescent="0.25">
      <c r="A88" t="s">
        <v>67</v>
      </c>
      <c r="D88">
        <v>121.8</v>
      </c>
      <c r="E88">
        <v>2433.4</v>
      </c>
      <c r="F88">
        <v>5.0053423193885092</v>
      </c>
      <c r="G88">
        <v>186.8</v>
      </c>
      <c r="H88">
        <v>0.42</v>
      </c>
      <c r="I88">
        <v>3.5987847965738751</v>
      </c>
      <c r="J88">
        <v>87.036224256618794</v>
      </c>
      <c r="K88">
        <v>16.100462656972901</v>
      </c>
      <c r="L88">
        <v>24.692663582286848</v>
      </c>
      <c r="M88">
        <v>2.69</v>
      </c>
      <c r="N88">
        <v>6.5442826552462519</v>
      </c>
      <c r="O88">
        <v>31.420829775651427</v>
      </c>
    </row>
    <row r="89" spans="1:15" x14ac:dyDescent="0.25">
      <c r="A89" t="s">
        <v>68</v>
      </c>
      <c r="D89">
        <v>589</v>
      </c>
      <c r="E89">
        <v>2254.2000000000003</v>
      </c>
      <c r="F89">
        <v>26.129003637654151</v>
      </c>
      <c r="G89">
        <v>775.8</v>
      </c>
      <c r="H89">
        <v>0.17</v>
      </c>
      <c r="I89">
        <v>0.99559551430781124</v>
      </c>
      <c r="J89">
        <v>100</v>
      </c>
      <c r="K89">
        <v>77.858559153998669</v>
      </c>
      <c r="L89">
        <v>102.55122273628552</v>
      </c>
      <c r="M89">
        <v>4.53</v>
      </c>
      <c r="N89">
        <v>5.0150064449600409</v>
      </c>
      <c r="O89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Enrique Rojas Rodríguez</dc:creator>
  <cp:lastModifiedBy>Ignacio Rojas</cp:lastModifiedBy>
  <dcterms:created xsi:type="dcterms:W3CDTF">2026-01-09T20:46:03Z</dcterms:created>
  <dcterms:modified xsi:type="dcterms:W3CDTF">2026-01-12T03:02:49Z</dcterms:modified>
</cp:coreProperties>
</file>