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irojas/Documents/Dev/SF - Celda Jameson - BHP- S186/Split Factor/"/>
    </mc:Choice>
  </mc:AlternateContent>
  <xr:revisionPtr revIDLastSave="0" documentId="13_ncr:1_{18DC4933-D925-FD4D-B74A-802A398EFEA2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  <sheet name="Sim MC" sheetId="6" r:id="rId2"/>
    <sheet name="Pilotaje Cleaner" sheetId="2" r:id="rId3"/>
    <sheet name="Valores SF" sheetId="3" r:id="rId4"/>
    <sheet name="Ali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11" i="1"/>
  <c r="E7" i="1"/>
  <c r="E3" i="1"/>
</calcChain>
</file>

<file path=xl/sharedStrings.xml><?xml version="1.0" encoding="utf-8"?>
<sst xmlns="http://schemas.openxmlformats.org/spreadsheetml/2006/main" count="68" uniqueCount="21">
  <si>
    <t>Simulacion</t>
  </si>
  <si>
    <t>tipo</t>
  </si>
  <si>
    <t>Equipo</t>
  </si>
  <si>
    <t>sp masa</t>
  </si>
  <si>
    <t>sp cuf</t>
  </si>
  <si>
    <t>1ra Cl Ro</t>
  </si>
  <si>
    <t>Scavenger</t>
  </si>
  <si>
    <t>1ra Cl Scv</t>
  </si>
  <si>
    <t>Mezclador 1</t>
  </si>
  <si>
    <t>celda</t>
  </si>
  <si>
    <t>suma</t>
  </si>
  <si>
    <t>SF 1era Cl</t>
  </si>
  <si>
    <t>Rec</t>
  </si>
  <si>
    <t>Masa</t>
  </si>
  <si>
    <t>SF Scavenger</t>
  </si>
  <si>
    <t>Cl-Scv</t>
  </si>
  <si>
    <t>RE</t>
  </si>
  <si>
    <t>Ley Alimentación</t>
  </si>
  <si>
    <t>Alim</t>
  </si>
  <si>
    <t>Sim</t>
  </si>
  <si>
    <t>Jameson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</si>
</sst>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b/>
      <sz val="11"/>
      <color theme="0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7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2" borderId="2" xfId="0" applyFill="1" applyBorder="1"/>
    <xf numFmtId="2" fontId="0" fillId="2" borderId="14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0" fontId="0" fillId="3" borderId="2" xfId="0" applyFill="1" applyBorder="1"/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4" borderId="2" xfId="0" applyFill="1" applyBorder="1"/>
    <xf numFmtId="2" fontId="0" fillId="4" borderId="14" xfId="0" applyNumberFormat="1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2" fontId="4" fillId="5" borderId="16" xfId="0" applyNumberFormat="1" applyFont="1" applyFill="1" applyBorder="1" applyAlignment="1">
      <alignment horizontal="center"/>
    </xf>
    <xf numFmtId="2" fontId="4" fillId="5" borderId="17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761851</xdr:colOff>
      <xdr:row>22</xdr:row>
      <xdr:rowOff>130794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E98E6-C49D-4171-8022-AF2C7A8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7851" cy="4182094"/>
        </a:xfrm>
        <a:prstGeom prst="rect">
          <a:avLst/>
        </a:prstGeom>
      </xdr:spPr>
    </xdr:pic>
    <xdr:clientData/>
  </xdr:twoCellAnchor>
  <xdr:twoCellAnchor>
    <xdr:from>
      <xdr:col>2</xdr:col>
      <xdr:colOff>139700</xdr:colOff>
      <xdr:row>10</xdr:row>
      <xdr:rowOff>133350</xdr:rowOff>
    </xdr:from>
    <xdr:to>
      <xdr:col>2</xdr:col>
      <xdr:colOff>495300</xdr:colOff>
      <xdr:row>11</xdr:row>
      <xdr:rowOff>158750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B794E9-1084-FBCF-0ED3-DB83F506B57C}"/>
            </a:ext>
          </a:extLst>
        </xdr:cNvPr>
        <xdr:cNvSpPr txBox="1"/>
      </xdr:nvSpPr>
      <xdr:spPr>
        <a:xfrm>
          <a:off x="1663700" y="17907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4</a:t>
          </a:r>
        </a:p>
      </xdr:txBody>
    </xdr:sp>
    <xdr:clientData/>
  </xdr:twoCellAnchor>
  <xdr:twoCellAnchor>
    <xdr:from>
      <xdr:col>2</xdr:col>
      <xdr:colOff>95250</xdr:colOff>
      <xdr:row>17</xdr:row>
      <xdr:rowOff>38100</xdr:rowOff>
    </xdr:from>
    <xdr:to>
      <xdr:col>2</xdr:col>
      <xdr:colOff>450850</xdr:colOff>
      <xdr:row>18</xdr:row>
      <xdr:rowOff>63500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E67CDC5-4829-4D11-9037-3D91472BD519}"/>
            </a:ext>
          </a:extLst>
        </xdr:cNvPr>
        <xdr:cNvSpPr txBox="1"/>
      </xdr:nvSpPr>
      <xdr:spPr>
        <a:xfrm>
          <a:off x="1619250" y="2984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5</a:t>
          </a:r>
        </a:p>
      </xdr:txBody>
    </xdr:sp>
    <xdr:clientData/>
  </xdr:twoCellAnchor>
  <xdr:twoCellAnchor>
    <xdr:from>
      <xdr:col>2</xdr:col>
      <xdr:colOff>482600</xdr:colOff>
      <xdr:row>13</xdr:row>
      <xdr:rowOff>12700</xdr:rowOff>
    </xdr:from>
    <xdr:to>
      <xdr:col>3</xdr:col>
      <xdr:colOff>76200</xdr:colOff>
      <xdr:row>14</xdr:row>
      <xdr:rowOff>38100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4006890-2CB0-432D-AC33-215DD7C6E5F3}"/>
            </a:ext>
          </a:extLst>
        </xdr:cNvPr>
        <xdr:cNvSpPr txBox="1"/>
      </xdr:nvSpPr>
      <xdr:spPr>
        <a:xfrm>
          <a:off x="20066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6</a:t>
          </a:r>
        </a:p>
      </xdr:txBody>
    </xdr:sp>
    <xdr:clientData/>
  </xdr:twoCellAnchor>
  <xdr:twoCellAnchor>
    <xdr:from>
      <xdr:col>4</xdr:col>
      <xdr:colOff>615950</xdr:colOff>
      <xdr:row>13</xdr:row>
      <xdr:rowOff>0</xdr:rowOff>
    </xdr:from>
    <xdr:to>
      <xdr:col>5</xdr:col>
      <xdr:colOff>209550</xdr:colOff>
      <xdr:row>14</xdr:row>
      <xdr:rowOff>25400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ED3F6CD-B612-4641-BDA5-EF9BA735D9A0}"/>
            </a:ext>
          </a:extLst>
        </xdr:cNvPr>
        <xdr:cNvSpPr txBox="1"/>
      </xdr:nvSpPr>
      <xdr:spPr>
        <a:xfrm>
          <a:off x="3663950" y="22098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7</a:t>
          </a:r>
        </a:p>
      </xdr:txBody>
    </xdr:sp>
    <xdr:clientData/>
  </xdr:twoCellAnchor>
  <xdr:twoCellAnchor>
    <xdr:from>
      <xdr:col>5</xdr:col>
      <xdr:colOff>400050</xdr:colOff>
      <xdr:row>15</xdr:row>
      <xdr:rowOff>50800</xdr:rowOff>
    </xdr:from>
    <xdr:to>
      <xdr:col>5</xdr:col>
      <xdr:colOff>755650</xdr:colOff>
      <xdr:row>16</xdr:row>
      <xdr:rowOff>76200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B21F7F7-6D21-4C12-B5DC-512B18656D9E}"/>
            </a:ext>
          </a:extLst>
        </xdr:cNvPr>
        <xdr:cNvSpPr txBox="1"/>
      </xdr:nvSpPr>
      <xdr:spPr>
        <a:xfrm>
          <a:off x="4210050" y="26289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8</a:t>
          </a:r>
        </a:p>
      </xdr:txBody>
    </xdr:sp>
    <xdr:clientData/>
  </xdr:twoCellAnchor>
  <xdr:twoCellAnchor>
    <xdr:from>
      <xdr:col>6</xdr:col>
      <xdr:colOff>596900</xdr:colOff>
      <xdr:row>13</xdr:row>
      <xdr:rowOff>12700</xdr:rowOff>
    </xdr:from>
    <xdr:to>
      <xdr:col>7</xdr:col>
      <xdr:colOff>190500</xdr:colOff>
      <xdr:row>14</xdr:row>
      <xdr:rowOff>38100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0C689B6-C062-467C-8EB6-5FF0E12A3704}"/>
            </a:ext>
          </a:extLst>
        </xdr:cNvPr>
        <xdr:cNvSpPr txBox="1"/>
      </xdr:nvSpPr>
      <xdr:spPr>
        <a:xfrm>
          <a:off x="51689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9</a:t>
          </a:r>
        </a:p>
      </xdr:txBody>
    </xdr:sp>
    <xdr:clientData/>
  </xdr:twoCellAnchor>
  <xdr:twoCellAnchor>
    <xdr:from>
      <xdr:col>6</xdr:col>
      <xdr:colOff>76200</xdr:colOff>
      <xdr:row>20</xdr:row>
      <xdr:rowOff>44450</xdr:rowOff>
    </xdr:from>
    <xdr:to>
      <xdr:col>6</xdr:col>
      <xdr:colOff>431800</xdr:colOff>
      <xdr:row>21</xdr:row>
      <xdr:rowOff>69850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FAA1B44-CAD5-4EA9-AB01-F9410F39FB7C}"/>
            </a:ext>
          </a:extLst>
        </xdr:cNvPr>
        <xdr:cNvSpPr txBox="1"/>
      </xdr:nvSpPr>
      <xdr:spPr>
        <a:xfrm>
          <a:off x="4648200" y="35433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10</a:t>
          </a:r>
        </a:p>
      </xdr:txBody>
    </xdr:sp>
    <xdr:clientData/>
  </xdr:twoCellAnchor>
  <xdr:twoCellAnchor>
    <xdr:from>
      <xdr:col>5</xdr:col>
      <xdr:colOff>25400</xdr:colOff>
      <xdr:row>16</xdr:row>
      <xdr:rowOff>133350</xdr:rowOff>
    </xdr:from>
    <xdr:to>
      <xdr:col>5</xdr:col>
      <xdr:colOff>381000</xdr:colOff>
      <xdr:row>17</xdr:row>
      <xdr:rowOff>158750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072D794-515C-4BF6-B3C0-B686319C5E5B}"/>
            </a:ext>
          </a:extLst>
        </xdr:cNvPr>
        <xdr:cNvSpPr txBox="1"/>
      </xdr:nvSpPr>
      <xdr:spPr>
        <a:xfrm>
          <a:off x="3835400" y="28956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200" workbookViewId="0">
      <selection activeCell="A14" sqref="A14:M18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x14ac:dyDescent="0.2">
      <c r="A2" s="12">
        <v>1</v>
      </c>
      <c r="B2" s="5" t="s">
        <v>9</v>
      </c>
      <c r="C2" s="5" t="s">
        <v>20</v>
      </c>
      <c r="D2" s="48">
        <v>8.2500000000000004E-2</v>
      </c>
      <c r="E2" s="48">
        <v>0.68720000000000003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3">
        <v>1</v>
      </c>
      <c r="B3" s="51" t="s">
        <v>10</v>
      </c>
      <c r="C3" s="51" t="s">
        <v>8</v>
      </c>
      <c r="D3" s="52">
        <v>0</v>
      </c>
      <c r="E3" s="52">
        <f>'Valores SF'!D14</f>
        <v>0</v>
      </c>
      <c r="F3" s="53">
        <v>0</v>
      </c>
      <c r="G3" s="53">
        <v>0</v>
      </c>
      <c r="H3" s="53">
        <v>1</v>
      </c>
      <c r="I3" s="53">
        <v>-1</v>
      </c>
      <c r="J3" s="53">
        <v>0</v>
      </c>
      <c r="K3" s="53">
        <v>0</v>
      </c>
      <c r="L3" s="53">
        <v>0</v>
      </c>
      <c r="M3" s="8">
        <v>1</v>
      </c>
    </row>
    <row r="4" spans="1:13" x14ac:dyDescent="0.2">
      <c r="A4" s="13">
        <v>1</v>
      </c>
      <c r="B4" s="51" t="s">
        <v>9</v>
      </c>
      <c r="C4" s="51" t="s">
        <v>6</v>
      </c>
      <c r="D4" s="52">
        <v>0.27879999999999999</v>
      </c>
      <c r="E4" s="52">
        <v>0.93959999999999999</v>
      </c>
      <c r="F4" s="53">
        <v>0</v>
      </c>
      <c r="G4" s="53">
        <v>0</v>
      </c>
      <c r="H4" s="53">
        <v>0</v>
      </c>
      <c r="I4" s="53">
        <v>1</v>
      </c>
      <c r="J4" s="53">
        <v>-1</v>
      </c>
      <c r="K4" s="53">
        <v>-1</v>
      </c>
      <c r="L4" s="53">
        <v>0</v>
      </c>
      <c r="M4" s="8">
        <v>0</v>
      </c>
    </row>
    <row r="5" spans="1:13" x14ac:dyDescent="0.2">
      <c r="A5" s="14">
        <v>1</v>
      </c>
      <c r="B5" s="9" t="s">
        <v>9</v>
      </c>
      <c r="C5" s="9" t="s">
        <v>7</v>
      </c>
      <c r="D5" s="55">
        <v>0.22670000000000001</v>
      </c>
      <c r="E5" s="55">
        <v>0.60540000000000005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x14ac:dyDescent="0.2">
      <c r="A6" s="12">
        <v>2</v>
      </c>
      <c r="B6" s="5" t="s">
        <v>9</v>
      </c>
      <c r="C6" s="5" t="s">
        <v>20</v>
      </c>
      <c r="D6" s="48">
        <v>0.1069</v>
      </c>
      <c r="E6" s="48">
        <v>0.76739999999999997</v>
      </c>
      <c r="F6" s="6">
        <v>1</v>
      </c>
      <c r="G6" s="6">
        <v>-1</v>
      </c>
      <c r="H6" s="6">
        <v>-1</v>
      </c>
      <c r="I6" s="6">
        <v>0</v>
      </c>
      <c r="J6" s="6">
        <v>0</v>
      </c>
      <c r="K6" s="6">
        <v>0</v>
      </c>
      <c r="L6" s="6">
        <v>0</v>
      </c>
      <c r="M6" s="7">
        <v>0</v>
      </c>
    </row>
    <row r="7" spans="1:13" x14ac:dyDescent="0.2">
      <c r="A7" s="12">
        <v>2</v>
      </c>
      <c r="B7" s="51" t="s">
        <v>10</v>
      </c>
      <c r="C7" s="51" t="s">
        <v>8</v>
      </c>
      <c r="D7" s="52">
        <v>0</v>
      </c>
      <c r="E7" s="52">
        <f>'Valores SF'!D18</f>
        <v>0.31618759455370643</v>
      </c>
      <c r="F7" s="53">
        <v>0</v>
      </c>
      <c r="G7" s="53">
        <v>0</v>
      </c>
      <c r="H7" s="53">
        <v>1</v>
      </c>
      <c r="I7" s="53">
        <v>-1</v>
      </c>
      <c r="J7" s="53">
        <v>0</v>
      </c>
      <c r="K7" s="53">
        <v>0</v>
      </c>
      <c r="L7" s="53">
        <v>0</v>
      </c>
      <c r="M7" s="8">
        <v>1</v>
      </c>
    </row>
    <row r="8" spans="1:13" x14ac:dyDescent="0.2">
      <c r="A8" s="12">
        <v>2</v>
      </c>
      <c r="B8" s="51" t="s">
        <v>9</v>
      </c>
      <c r="C8" s="51" t="s">
        <v>6</v>
      </c>
      <c r="D8" s="52">
        <v>0.27879999999999999</v>
      </c>
      <c r="E8" s="52">
        <v>0.93959999999999999</v>
      </c>
      <c r="F8" s="53">
        <v>0</v>
      </c>
      <c r="G8" s="53">
        <v>0</v>
      </c>
      <c r="H8" s="53">
        <v>0</v>
      </c>
      <c r="I8" s="53">
        <v>1</v>
      </c>
      <c r="J8" s="53">
        <v>-1</v>
      </c>
      <c r="K8" s="53">
        <v>-1</v>
      </c>
      <c r="L8" s="53">
        <v>0</v>
      </c>
      <c r="M8" s="8">
        <v>0</v>
      </c>
    </row>
    <row r="9" spans="1:13" x14ac:dyDescent="0.2">
      <c r="A9" s="54">
        <v>2</v>
      </c>
      <c r="B9" s="9" t="s">
        <v>9</v>
      </c>
      <c r="C9" s="9" t="s">
        <v>7</v>
      </c>
      <c r="D9" s="55">
        <v>0.22670000000000001</v>
      </c>
      <c r="E9" s="55">
        <v>0.60540000000000005</v>
      </c>
      <c r="F9" s="10">
        <v>0</v>
      </c>
      <c r="G9" s="10">
        <v>0</v>
      </c>
      <c r="H9" s="10">
        <v>0</v>
      </c>
      <c r="I9" s="10">
        <v>0</v>
      </c>
      <c r="J9" s="10">
        <v>1</v>
      </c>
      <c r="K9" s="10">
        <v>0</v>
      </c>
      <c r="L9" s="10">
        <v>-1</v>
      </c>
      <c r="M9" s="11">
        <v>-1</v>
      </c>
    </row>
    <row r="10" spans="1:13" x14ac:dyDescent="0.2">
      <c r="A10" s="12">
        <v>3</v>
      </c>
      <c r="B10" s="5" t="s">
        <v>9</v>
      </c>
      <c r="C10" s="5" t="s">
        <v>20</v>
      </c>
      <c r="D10" s="48">
        <v>4.3999999999999997E-2</v>
      </c>
      <c r="E10" s="48">
        <v>0.443</v>
      </c>
      <c r="F10" s="6">
        <v>1</v>
      </c>
      <c r="G10" s="6">
        <v>-1</v>
      </c>
      <c r="H10" s="6">
        <v>-1</v>
      </c>
      <c r="I10" s="6">
        <v>0</v>
      </c>
      <c r="J10" s="6">
        <v>0</v>
      </c>
      <c r="K10" s="6">
        <v>0</v>
      </c>
      <c r="L10" s="6">
        <v>0</v>
      </c>
      <c r="M10" s="7">
        <v>0</v>
      </c>
    </row>
    <row r="11" spans="1:13" x14ac:dyDescent="0.2">
      <c r="A11" s="12">
        <v>3</v>
      </c>
      <c r="B11" s="51" t="s">
        <v>10</v>
      </c>
      <c r="C11" s="51" t="s">
        <v>8</v>
      </c>
      <c r="D11" s="52">
        <v>0</v>
      </c>
      <c r="E11" s="52">
        <f>'Valores SF'!D22</f>
        <v>5.3569066619637583E-2</v>
      </c>
      <c r="F11" s="53">
        <v>0</v>
      </c>
      <c r="G11" s="53">
        <v>0</v>
      </c>
      <c r="H11" s="53">
        <v>1</v>
      </c>
      <c r="I11" s="53">
        <v>-1</v>
      </c>
      <c r="J11" s="53">
        <v>0</v>
      </c>
      <c r="K11" s="53">
        <v>0</v>
      </c>
      <c r="L11" s="53">
        <v>0</v>
      </c>
      <c r="M11" s="8">
        <v>1</v>
      </c>
    </row>
    <row r="12" spans="1:13" x14ac:dyDescent="0.2">
      <c r="A12" s="12">
        <v>3</v>
      </c>
      <c r="B12" s="51" t="s">
        <v>9</v>
      </c>
      <c r="C12" s="51" t="s">
        <v>6</v>
      </c>
      <c r="D12" s="52">
        <v>0.27879999999999999</v>
      </c>
      <c r="E12" s="52">
        <v>0.93959999999999999</v>
      </c>
      <c r="F12" s="53">
        <v>0</v>
      </c>
      <c r="G12" s="53">
        <v>0</v>
      </c>
      <c r="H12" s="53">
        <v>0</v>
      </c>
      <c r="I12" s="53">
        <v>1</v>
      </c>
      <c r="J12" s="53">
        <v>-1</v>
      </c>
      <c r="K12" s="53">
        <v>-1</v>
      </c>
      <c r="L12" s="53">
        <v>0</v>
      </c>
      <c r="M12" s="8">
        <v>0</v>
      </c>
    </row>
    <row r="13" spans="1:13" x14ac:dyDescent="0.2">
      <c r="A13" s="54">
        <v>3</v>
      </c>
      <c r="B13" s="9" t="s">
        <v>9</v>
      </c>
      <c r="C13" s="9" t="s">
        <v>7</v>
      </c>
      <c r="D13" s="55">
        <v>0.22670000000000001</v>
      </c>
      <c r="E13" s="55">
        <v>0.60540000000000005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0">
        <v>-1</v>
      </c>
      <c r="M13" s="11">
        <v>-1</v>
      </c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F15"/>
      <c r="G15"/>
      <c r="H15"/>
      <c r="I15"/>
      <c r="J15"/>
      <c r="K15"/>
      <c r="L15"/>
      <c r="M15"/>
    </row>
    <row r="16" spans="1:13" x14ac:dyDescent="0.2">
      <c r="A16"/>
      <c r="F16"/>
      <c r="G16"/>
      <c r="H16"/>
      <c r="I16"/>
      <c r="J16"/>
      <c r="K16"/>
      <c r="L16"/>
      <c r="M16"/>
    </row>
    <row r="17" spans="4:4" customFormat="1" x14ac:dyDescent="0.2"/>
    <row r="18" spans="4:4" customFormat="1" x14ac:dyDescent="0.2"/>
    <row r="19" spans="4:4" customFormat="1" x14ac:dyDescent="0.2">
      <c r="D19" s="48"/>
    </row>
    <row r="20" spans="4:4" customFormat="1" x14ac:dyDescent="0.2">
      <c r="D20" s="52"/>
    </row>
    <row r="21" spans="4:4" customFormat="1" x14ac:dyDescent="0.2">
      <c r="D21" s="52"/>
    </row>
    <row r="22" spans="4:4" customFormat="1" x14ac:dyDescent="0.2">
      <c r="D22" s="55"/>
    </row>
    <row r="23" spans="4:4" customFormat="1" x14ac:dyDescent="0.2">
      <c r="D23" s="48"/>
    </row>
    <row r="24" spans="4:4" customFormat="1" x14ac:dyDescent="0.2">
      <c r="D24" s="52"/>
    </row>
    <row r="25" spans="4:4" customFormat="1" x14ac:dyDescent="0.2">
      <c r="D25" s="52"/>
    </row>
    <row r="26" spans="4:4" customFormat="1" x14ac:dyDescent="0.2">
      <c r="D26" s="55"/>
    </row>
    <row r="27" spans="4:4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90E6-F226-E744-B0A6-88A2E445EE79}">
  <dimension ref="A1:M15"/>
  <sheetViews>
    <sheetView zoomScale="200" workbookViewId="0">
      <selection activeCell="C20" sqref="C20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x14ac:dyDescent="0.2">
      <c r="A2" s="12">
        <v>1</v>
      </c>
      <c r="B2" s="5" t="s">
        <v>9</v>
      </c>
      <c r="C2" s="5" t="s">
        <v>20</v>
      </c>
      <c r="D2" s="48">
        <v>0</v>
      </c>
      <c r="E2" s="48">
        <v>0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2">
        <v>1</v>
      </c>
      <c r="B3" s="51" t="s">
        <v>10</v>
      </c>
      <c r="C3" s="51" t="s">
        <v>8</v>
      </c>
      <c r="D3" s="52">
        <v>0</v>
      </c>
      <c r="E3" s="52">
        <f>'Valores SF'!D26</f>
        <v>0.10930487137383692</v>
      </c>
      <c r="F3" s="53">
        <v>0</v>
      </c>
      <c r="G3" s="53">
        <v>0</v>
      </c>
      <c r="H3" s="53">
        <v>1</v>
      </c>
      <c r="I3" s="53">
        <v>-1</v>
      </c>
      <c r="J3" s="53">
        <v>0</v>
      </c>
      <c r="K3" s="53">
        <v>0</v>
      </c>
      <c r="L3" s="53">
        <v>0</v>
      </c>
      <c r="M3" s="8">
        <v>1</v>
      </c>
    </row>
    <row r="4" spans="1:13" x14ac:dyDescent="0.2">
      <c r="A4" s="12">
        <v>1</v>
      </c>
      <c r="B4" s="51" t="s">
        <v>9</v>
      </c>
      <c r="C4" s="51" t="s">
        <v>6</v>
      </c>
      <c r="D4" s="52">
        <v>0.27879999999999999</v>
      </c>
      <c r="E4" s="52">
        <v>0.93959999999999999</v>
      </c>
      <c r="F4" s="53">
        <v>0</v>
      </c>
      <c r="G4" s="53">
        <v>0</v>
      </c>
      <c r="H4" s="53">
        <v>0</v>
      </c>
      <c r="I4" s="53">
        <v>1</v>
      </c>
      <c r="J4" s="53">
        <v>-1</v>
      </c>
      <c r="K4" s="53">
        <v>-1</v>
      </c>
      <c r="L4" s="53">
        <v>0</v>
      </c>
      <c r="M4" s="8">
        <v>0</v>
      </c>
    </row>
    <row r="5" spans="1:13" x14ac:dyDescent="0.2">
      <c r="A5" s="54">
        <v>1</v>
      </c>
      <c r="B5" s="9" t="s">
        <v>9</v>
      </c>
      <c r="C5" s="9" t="s">
        <v>7</v>
      </c>
      <c r="D5" s="55">
        <v>0.22670000000000001</v>
      </c>
      <c r="E5" s="55">
        <v>0.60540000000000005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x14ac:dyDescent="0.2">
      <c r="A6"/>
      <c r="D6" s="52"/>
      <c r="F6"/>
      <c r="G6"/>
      <c r="H6"/>
      <c r="I6"/>
      <c r="J6"/>
      <c r="K6"/>
      <c r="L6"/>
      <c r="M6"/>
    </row>
    <row r="7" spans="1:13" x14ac:dyDescent="0.2">
      <c r="A7"/>
      <c r="D7" s="51"/>
      <c r="F7"/>
      <c r="G7"/>
      <c r="H7"/>
      <c r="I7"/>
      <c r="J7"/>
      <c r="K7"/>
      <c r="L7"/>
      <c r="M7"/>
    </row>
    <row r="8" spans="1:13" x14ac:dyDescent="0.2">
      <c r="A8"/>
      <c r="F8"/>
      <c r="G8"/>
      <c r="H8"/>
      <c r="I8"/>
      <c r="J8"/>
      <c r="K8"/>
      <c r="L8"/>
      <c r="M8"/>
    </row>
    <row r="9" spans="1:13" x14ac:dyDescent="0.2">
      <c r="A9"/>
      <c r="F9"/>
      <c r="G9"/>
      <c r="H9"/>
      <c r="I9"/>
      <c r="J9"/>
      <c r="K9"/>
      <c r="L9"/>
      <c r="M9"/>
    </row>
    <row r="10" spans="1:13" x14ac:dyDescent="0.2">
      <c r="A10"/>
      <c r="F10"/>
      <c r="G10"/>
      <c r="H10"/>
      <c r="I10"/>
      <c r="J10"/>
      <c r="K10"/>
      <c r="L10"/>
      <c r="M10"/>
    </row>
    <row r="11" spans="1:13" x14ac:dyDescent="0.2">
      <c r="A11"/>
      <c r="F11"/>
      <c r="G11"/>
      <c r="H11"/>
      <c r="I11"/>
      <c r="J11"/>
      <c r="K11"/>
      <c r="L11"/>
      <c r="M11"/>
    </row>
    <row r="12" spans="1:13" x14ac:dyDescent="0.2">
      <c r="A12"/>
      <c r="F12"/>
      <c r="G12"/>
      <c r="H12"/>
      <c r="I12"/>
      <c r="J12"/>
      <c r="K12"/>
      <c r="L12"/>
      <c r="M12"/>
    </row>
    <row r="13" spans="1:13" x14ac:dyDescent="0.2">
      <c r="A13"/>
      <c r="F13"/>
      <c r="G13"/>
      <c r="H13"/>
      <c r="I13"/>
      <c r="J13"/>
      <c r="K13"/>
      <c r="L13"/>
      <c r="M13"/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F15"/>
      <c r="G15"/>
      <c r="H15"/>
      <c r="I15"/>
      <c r="J15"/>
      <c r="K15"/>
      <c r="L15"/>
      <c r="M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843-A9C4-4C6E-96FF-E82A4A1069F5}">
  <dimension ref="K5:S9"/>
  <sheetViews>
    <sheetView workbookViewId="0">
      <selection activeCell="L20" sqref="J20:L25"/>
    </sheetView>
  </sheetViews>
  <sheetFormatPr baseColWidth="10" defaultRowHeight="15" x14ac:dyDescent="0.2"/>
  <sheetData>
    <row r="5" spans="11:19" x14ac:dyDescent="0.2">
      <c r="L5" s="4">
        <v>4</v>
      </c>
      <c r="M5" s="4">
        <v>5</v>
      </c>
      <c r="N5" s="4">
        <v>6</v>
      </c>
      <c r="O5" s="4">
        <v>7</v>
      </c>
      <c r="P5" s="4">
        <v>8</v>
      </c>
      <c r="Q5" s="4">
        <v>9</v>
      </c>
      <c r="R5" s="4">
        <v>10</v>
      </c>
      <c r="S5" s="4">
        <v>11</v>
      </c>
    </row>
    <row r="6" spans="11:19" x14ac:dyDescent="0.2">
      <c r="K6" t="s">
        <v>5</v>
      </c>
      <c r="L6" s="4">
        <v>1</v>
      </c>
      <c r="M6" s="4">
        <v>-1</v>
      </c>
      <c r="N6" s="4">
        <v>-1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1:19" x14ac:dyDescent="0.2">
      <c r="K7" t="s">
        <v>8</v>
      </c>
      <c r="L7" s="4">
        <v>0</v>
      </c>
      <c r="M7" s="4">
        <v>0</v>
      </c>
      <c r="N7" s="4">
        <v>1</v>
      </c>
      <c r="O7" s="4">
        <v>-1</v>
      </c>
      <c r="P7" s="4">
        <v>0</v>
      </c>
      <c r="Q7" s="4">
        <v>0</v>
      </c>
      <c r="R7" s="4">
        <v>0</v>
      </c>
      <c r="S7" s="4">
        <v>1</v>
      </c>
    </row>
    <row r="8" spans="11:19" x14ac:dyDescent="0.2">
      <c r="K8" t="s">
        <v>6</v>
      </c>
      <c r="L8" s="4">
        <v>0</v>
      </c>
      <c r="M8" s="4">
        <v>0</v>
      </c>
      <c r="N8" s="4">
        <v>0</v>
      </c>
      <c r="O8" s="4">
        <v>1</v>
      </c>
      <c r="P8" s="4">
        <v>-1</v>
      </c>
      <c r="Q8" s="4">
        <v>-1</v>
      </c>
      <c r="R8" s="4">
        <v>0</v>
      </c>
      <c r="S8" s="4">
        <v>0</v>
      </c>
    </row>
    <row r="9" spans="11:19" x14ac:dyDescent="0.2">
      <c r="K9" t="s">
        <v>7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-1</v>
      </c>
      <c r="S9" s="4">
        <v>-1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26B2-B4C4-46B7-B22E-1A83A8057B4E}">
  <dimension ref="A1:H41"/>
  <sheetViews>
    <sheetView topLeftCell="B1" workbookViewId="0">
      <selection activeCell="G28" sqref="G28"/>
    </sheetView>
  </sheetViews>
  <sheetFormatPr baseColWidth="10" defaultRowHeight="15" x14ac:dyDescent="0.2"/>
  <sheetData>
    <row r="1" spans="1:8" x14ac:dyDescent="0.2">
      <c r="A1" t="s">
        <v>11</v>
      </c>
      <c r="B1" t="s">
        <v>13</v>
      </c>
      <c r="C1" s="15">
        <v>2.5368486609923178</v>
      </c>
      <c r="D1" s="15">
        <v>5.356906661963758</v>
      </c>
      <c r="E1" s="15">
        <v>10.930487137383691</v>
      </c>
      <c r="F1" s="15">
        <v>4.6929691888855274</v>
      </c>
      <c r="G1" s="15">
        <v>5.5042185616713546</v>
      </c>
      <c r="H1" s="15">
        <v>6.1872909698996654</v>
      </c>
    </row>
    <row r="2" spans="1:8" x14ac:dyDescent="0.2">
      <c r="B2" t="s">
        <v>12</v>
      </c>
      <c r="C2" s="15">
        <v>28.47325348160803</v>
      </c>
      <c r="D2" s="15">
        <v>55.703385823835049</v>
      </c>
      <c r="E2" s="15">
        <v>73.188736065155751</v>
      </c>
      <c r="F2" s="15">
        <v>62.678087094135002</v>
      </c>
      <c r="G2" s="15">
        <v>54.541802111107053</v>
      </c>
      <c r="H2" s="15">
        <v>61.283643892339548</v>
      </c>
    </row>
    <row r="3" spans="1:8" x14ac:dyDescent="0.2">
      <c r="C3" s="15"/>
      <c r="D3" s="15"/>
      <c r="E3" s="15"/>
      <c r="F3" s="15"/>
      <c r="G3" s="15"/>
      <c r="H3" s="15"/>
    </row>
    <row r="4" spans="1:8" x14ac:dyDescent="0.2">
      <c r="A4" t="s">
        <v>14</v>
      </c>
      <c r="B4" t="s">
        <v>13</v>
      </c>
      <c r="C4" s="15">
        <v>33.489420742282341</v>
      </c>
      <c r="D4" s="15">
        <v>26.551924192612653</v>
      </c>
      <c r="E4" s="15">
        <v>108.34298957126305</v>
      </c>
      <c r="F4" s="15">
        <v>48.775116983209472</v>
      </c>
      <c r="G4" s="15">
        <v>78.604651162790702</v>
      </c>
      <c r="H4" s="15">
        <v>51.431049436253261</v>
      </c>
    </row>
    <row r="5" spans="1:8" x14ac:dyDescent="0.2">
      <c r="B5" t="s">
        <v>12</v>
      </c>
      <c r="C5" s="15">
        <v>95.087468006864015</v>
      </c>
      <c r="D5" s="15">
        <v>93.247829009770612</v>
      </c>
      <c r="E5" s="15">
        <v>101.01150907395953</v>
      </c>
      <c r="F5" s="15">
        <v>94.57254014453784</v>
      </c>
      <c r="G5" s="15">
        <v>98.581523833997181</v>
      </c>
      <c r="H5" s="15">
        <v>94.741406856256006</v>
      </c>
    </row>
    <row r="6" spans="1:8" x14ac:dyDescent="0.2">
      <c r="C6" s="15"/>
      <c r="D6" s="15"/>
      <c r="E6" s="15"/>
      <c r="F6" s="15"/>
      <c r="G6" s="15"/>
      <c r="H6" s="15"/>
    </row>
    <row r="7" spans="1:8" x14ac:dyDescent="0.2">
      <c r="A7" t="s">
        <v>15</v>
      </c>
      <c r="B7" t="s">
        <v>13</v>
      </c>
      <c r="C7" s="15">
        <v>15.045710951176813</v>
      </c>
      <c r="D7" s="15">
        <v>31.618759455370643</v>
      </c>
      <c r="E7" s="15">
        <v>1.0517090271691496</v>
      </c>
      <c r="F7" s="15">
        <v>9.7985074626865671</v>
      </c>
      <c r="G7" s="15">
        <v>2.9052631578947365</v>
      </c>
      <c r="H7" s="15">
        <v>5.5941741145316133</v>
      </c>
    </row>
    <row r="8" spans="1:8" x14ac:dyDescent="0.2">
      <c r="B8" t="s">
        <v>12</v>
      </c>
      <c r="C8" s="15">
        <v>59.445807288517848</v>
      </c>
      <c r="D8" s="15">
        <v>58.533409688567509</v>
      </c>
      <c r="E8" s="15">
        <v>9.4303949563201463</v>
      </c>
      <c r="F8" s="15">
        <v>40.616763955398646</v>
      </c>
      <c r="G8" s="15">
        <v>32.418641316948751</v>
      </c>
      <c r="H8" s="15">
        <v>38.154550797478876</v>
      </c>
    </row>
    <row r="10" spans="1:8" ht="16" thickBot="1" x14ac:dyDescent="0.25"/>
    <row r="11" spans="1:8" x14ac:dyDescent="0.2">
      <c r="A11" s="49" t="s">
        <v>17</v>
      </c>
      <c r="B11" s="50"/>
      <c r="C11" s="46">
        <v>2.2959999999999998</v>
      </c>
      <c r="D11" s="47">
        <v>2.2839999999999998</v>
      </c>
      <c r="E11" s="47">
        <v>2.8570000000000002</v>
      </c>
      <c r="F11" s="47">
        <v>1.7849999999999999</v>
      </c>
      <c r="G11" s="47">
        <v>2.64</v>
      </c>
      <c r="H11" s="47">
        <v>1.89</v>
      </c>
    </row>
    <row r="12" spans="1:8" x14ac:dyDescent="0.2">
      <c r="A12" s="28" t="s">
        <v>11</v>
      </c>
      <c r="B12" s="28" t="s">
        <v>13</v>
      </c>
      <c r="C12" s="16">
        <v>2.5368486609923177E-2</v>
      </c>
      <c r="D12" s="16">
        <v>5.3569066619637583E-2</v>
      </c>
      <c r="E12" s="16">
        <v>0.10930487137383692</v>
      </c>
      <c r="F12" s="16">
        <v>4.6929691888855277E-2</v>
      </c>
      <c r="G12" s="16">
        <v>5.5042185616713549E-2</v>
      </c>
      <c r="H12" s="17">
        <v>6.1872909698996656E-2</v>
      </c>
    </row>
    <row r="13" spans="1:8" x14ac:dyDescent="0.2">
      <c r="A13" s="29"/>
      <c r="B13" s="29" t="s">
        <v>12</v>
      </c>
      <c r="C13" s="18">
        <v>0.2847325348160803</v>
      </c>
      <c r="D13" s="18">
        <v>0.5570338582383505</v>
      </c>
      <c r="E13" s="18">
        <v>0.73188736065155746</v>
      </c>
      <c r="F13" s="18">
        <v>0.62678087094135004</v>
      </c>
      <c r="G13" s="18">
        <v>0.54541802111107052</v>
      </c>
      <c r="H13" s="19">
        <v>0.61283643892339545</v>
      </c>
    </row>
    <row r="14" spans="1:8" x14ac:dyDescent="0.2">
      <c r="A14" s="30"/>
      <c r="B14" s="37"/>
      <c r="C14" s="38"/>
      <c r="D14" s="38"/>
      <c r="E14" s="38"/>
      <c r="F14" s="38"/>
      <c r="G14" s="38"/>
      <c r="H14" s="39"/>
    </row>
    <row r="15" spans="1:8" x14ac:dyDescent="0.2">
      <c r="A15" s="31" t="s">
        <v>14</v>
      </c>
      <c r="B15" s="31" t="s">
        <v>13</v>
      </c>
      <c r="C15" s="24">
        <v>0.33489420742282339</v>
      </c>
      <c r="D15" s="24">
        <v>0.26551924192612653</v>
      </c>
      <c r="E15" s="24">
        <v>1.0834298957126305</v>
      </c>
      <c r="F15" s="24">
        <v>0.48775116983209471</v>
      </c>
      <c r="G15" s="24">
        <v>0.78604651162790706</v>
      </c>
      <c r="H15" s="25">
        <v>0.51431049436253262</v>
      </c>
    </row>
    <row r="16" spans="1:8" x14ac:dyDescent="0.2">
      <c r="A16" s="32"/>
      <c r="B16" s="32" t="s">
        <v>12</v>
      </c>
      <c r="C16" s="26">
        <v>0.95087468006864018</v>
      </c>
      <c r="D16" s="26">
        <v>0.93247829009770611</v>
      </c>
      <c r="E16" s="26">
        <v>1.0101150907395953</v>
      </c>
      <c r="F16" s="26">
        <v>0.94572540144537842</v>
      </c>
      <c r="G16" s="26">
        <v>0.98581523833997187</v>
      </c>
      <c r="H16" s="27">
        <v>0.94741406856256005</v>
      </c>
    </row>
    <row r="17" spans="1:8" x14ac:dyDescent="0.2">
      <c r="A17" s="33"/>
      <c r="B17" s="40"/>
      <c r="C17" s="41"/>
      <c r="D17" s="41"/>
      <c r="E17" s="41"/>
      <c r="F17" s="41"/>
      <c r="G17" s="41"/>
      <c r="H17" s="42"/>
    </row>
    <row r="18" spans="1:8" x14ac:dyDescent="0.2">
      <c r="A18" s="34" t="s">
        <v>15</v>
      </c>
      <c r="B18" s="34" t="s">
        <v>13</v>
      </c>
      <c r="C18" s="20">
        <v>0.15045710951176813</v>
      </c>
      <c r="D18" s="20">
        <v>0.31618759455370643</v>
      </c>
      <c r="E18" s="20">
        <v>1.0517090271691495E-2</v>
      </c>
      <c r="F18" s="20">
        <v>9.7985074626865676E-2</v>
      </c>
      <c r="G18" s="20">
        <v>2.9052631578947365E-2</v>
      </c>
      <c r="H18" s="21">
        <v>5.594174114531613E-2</v>
      </c>
    </row>
    <row r="19" spans="1:8" x14ac:dyDescent="0.2">
      <c r="A19" s="35"/>
      <c r="B19" s="35" t="s">
        <v>12</v>
      </c>
      <c r="C19" s="22">
        <v>0.59445807288517849</v>
      </c>
      <c r="D19" s="22">
        <v>0.58533409688567506</v>
      </c>
      <c r="E19" s="22">
        <v>9.430394956320147E-2</v>
      </c>
      <c r="F19" s="22">
        <v>0.40616763955398644</v>
      </c>
      <c r="G19" s="22">
        <v>0.32418641316948749</v>
      </c>
      <c r="H19" s="23">
        <v>0.38154550797478876</v>
      </c>
    </row>
    <row r="20" spans="1:8" x14ac:dyDescent="0.2">
      <c r="A20" s="36"/>
      <c r="B20" s="43" t="s">
        <v>16</v>
      </c>
      <c r="C20" s="44"/>
      <c r="D20" s="44"/>
      <c r="E20" s="44"/>
      <c r="F20" s="44"/>
      <c r="G20" s="44"/>
      <c r="H20" s="45"/>
    </row>
    <row r="22" spans="1:8" x14ac:dyDescent="0.2">
      <c r="D22" s="16">
        <v>5.3569066619637583E-2</v>
      </c>
      <c r="E22" s="18">
        <v>0.5570338582383505</v>
      </c>
    </row>
    <row r="23" spans="1:8" x14ac:dyDescent="0.2">
      <c r="D23" s="16">
        <v>0</v>
      </c>
      <c r="E23" s="18">
        <v>0</v>
      </c>
    </row>
    <row r="24" spans="1:8" x14ac:dyDescent="0.2">
      <c r="D24" s="24">
        <v>0.26551924192612653</v>
      </c>
      <c r="E24" s="26">
        <v>0.93247829009770611</v>
      </c>
    </row>
    <row r="25" spans="1:8" x14ac:dyDescent="0.2">
      <c r="D25" s="20">
        <v>0.31618759455370643</v>
      </c>
      <c r="E25" s="22">
        <v>0.58533409688567506</v>
      </c>
    </row>
    <row r="26" spans="1:8" x14ac:dyDescent="0.2">
      <c r="D26" s="16">
        <v>0.10930487137383692</v>
      </c>
      <c r="E26" s="18">
        <v>0.73188736065155746</v>
      </c>
    </row>
    <row r="27" spans="1:8" x14ac:dyDescent="0.2">
      <c r="D27" s="16">
        <v>0</v>
      </c>
      <c r="E27" s="18">
        <v>0</v>
      </c>
    </row>
    <row r="28" spans="1:8" x14ac:dyDescent="0.2">
      <c r="D28" s="24">
        <v>1.0834298957126305</v>
      </c>
      <c r="E28" s="26">
        <v>1.0101150907395953</v>
      </c>
    </row>
    <row r="29" spans="1:8" x14ac:dyDescent="0.2">
      <c r="D29" s="20">
        <v>1.0517090271691495E-2</v>
      </c>
      <c r="E29" s="22">
        <v>9.430394956320147E-2</v>
      </c>
    </row>
    <row r="30" spans="1:8" x14ac:dyDescent="0.2">
      <c r="D30" s="16">
        <v>4.6929691888855277E-2</v>
      </c>
      <c r="E30" s="18">
        <v>0.62678087094135004</v>
      </c>
    </row>
    <row r="31" spans="1:8" x14ac:dyDescent="0.2">
      <c r="D31" s="16">
        <v>0</v>
      </c>
      <c r="E31" s="18">
        <v>0</v>
      </c>
    </row>
    <row r="32" spans="1:8" x14ac:dyDescent="0.2">
      <c r="D32" s="24">
        <v>0.48775116983209471</v>
      </c>
      <c r="E32" s="26">
        <v>0.94572540144537842</v>
      </c>
    </row>
    <row r="33" spans="4:5" x14ac:dyDescent="0.2">
      <c r="D33" s="20">
        <v>9.7985074626865676E-2</v>
      </c>
      <c r="E33" s="22">
        <v>0.40616763955398644</v>
      </c>
    </row>
    <row r="34" spans="4:5" x14ac:dyDescent="0.2">
      <c r="D34" s="16">
        <v>5.5042185616713549E-2</v>
      </c>
      <c r="E34" s="18">
        <v>0.54541802111107052</v>
      </c>
    </row>
    <row r="35" spans="4:5" x14ac:dyDescent="0.2">
      <c r="D35" s="16">
        <v>0</v>
      </c>
      <c r="E35" s="18">
        <v>0</v>
      </c>
    </row>
    <row r="36" spans="4:5" x14ac:dyDescent="0.2">
      <c r="D36" s="24">
        <v>0.78604651162790706</v>
      </c>
      <c r="E36" s="26">
        <v>0.98581523833997187</v>
      </c>
    </row>
    <row r="37" spans="4:5" x14ac:dyDescent="0.2">
      <c r="D37" s="20">
        <v>2.9052631578947365E-2</v>
      </c>
      <c r="E37" s="22">
        <v>0.32418641316948749</v>
      </c>
    </row>
    <row r="38" spans="4:5" x14ac:dyDescent="0.2">
      <c r="D38" s="17">
        <v>6.1872909698996656E-2</v>
      </c>
      <c r="E38" s="19">
        <v>0.61283643892339545</v>
      </c>
    </row>
    <row r="39" spans="4:5" x14ac:dyDescent="0.2">
      <c r="D39" s="17">
        <v>0</v>
      </c>
      <c r="E39" s="19">
        <v>0</v>
      </c>
    </row>
    <row r="40" spans="4:5" x14ac:dyDescent="0.2">
      <c r="D40" s="25">
        <v>0.51431049436253262</v>
      </c>
      <c r="E40" s="27">
        <v>0.94741406856256005</v>
      </c>
    </row>
    <row r="41" spans="4:5" x14ac:dyDescent="0.2">
      <c r="D41" s="21">
        <v>5.594174114531613E-2</v>
      </c>
      <c r="E41" s="23">
        <v>0.38154550797478876</v>
      </c>
    </row>
  </sheetData>
  <mergeCells count="1">
    <mergeCell ref="A11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B74B-AE05-4051-ABAD-E7B02F6104FB}">
  <dimension ref="A1:B7"/>
  <sheetViews>
    <sheetView workbookViewId="0">
      <selection activeCell="C32" sqref="C32"/>
    </sheetView>
  </sheetViews>
  <sheetFormatPr baseColWidth="10" defaultRowHeight="15" x14ac:dyDescent="0.2"/>
  <cols>
    <col min="1" max="1" width="10.83203125" style="4"/>
  </cols>
  <sheetData>
    <row r="1" spans="1:2" x14ac:dyDescent="0.2">
      <c r="A1" s="4" t="s">
        <v>18</v>
      </c>
      <c r="B1" t="s">
        <v>19</v>
      </c>
    </row>
    <row r="2" spans="1:2" x14ac:dyDescent="0.2">
      <c r="A2" s="4">
        <v>2.2959999999999998</v>
      </c>
      <c r="B2">
        <v>1</v>
      </c>
    </row>
    <row r="3" spans="1:2" x14ac:dyDescent="0.2">
      <c r="A3" s="4">
        <v>2.2839999999999998</v>
      </c>
      <c r="B3">
        <v>2</v>
      </c>
    </row>
    <row r="4" spans="1:2" x14ac:dyDescent="0.2">
      <c r="A4" s="4">
        <v>2.8570000000000002</v>
      </c>
      <c r="B4">
        <v>3</v>
      </c>
    </row>
    <row r="5" spans="1:2" x14ac:dyDescent="0.2">
      <c r="A5" s="4">
        <v>1.7849999999999999</v>
      </c>
      <c r="B5">
        <v>4</v>
      </c>
    </row>
    <row r="6" spans="1:2" x14ac:dyDescent="0.2">
      <c r="A6" s="4">
        <v>2.64</v>
      </c>
      <c r="B6">
        <v>5</v>
      </c>
    </row>
    <row r="7" spans="1:2" x14ac:dyDescent="0.2">
      <c r="A7" s="4">
        <v>1.89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Sim MC</vt:lpstr>
      <vt:lpstr>Pilotaje Cleaner</vt:lpstr>
      <vt:lpstr>Valores SF</vt:lpstr>
      <vt:lpstr>Alim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Rojas</dc:creator>
  <cp:lastModifiedBy>Ignacio Enrique Rojas Rodríguez</cp:lastModifiedBy>
  <dcterms:created xsi:type="dcterms:W3CDTF">2015-06-05T18:17:20Z</dcterms:created>
  <dcterms:modified xsi:type="dcterms:W3CDTF">2026-01-11T13:56:24Z</dcterms:modified>
</cp:coreProperties>
</file>