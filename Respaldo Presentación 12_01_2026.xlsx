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igroj\OneDrive\Documentos\DEV\Split-Factores\"/>
    </mc:Choice>
  </mc:AlternateContent>
  <xr:revisionPtr revIDLastSave="0" documentId="13_ncr:1_{8A6BCCC2-ED19-4043-9CC8-2BEBEB92596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al Sep Día" sheetId="1" r:id="rId1"/>
    <sheet name="SF" sheetId="2" r:id="rId2"/>
    <sheet name="SF para Jameson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3" i="2"/>
  <c r="D2" i="2"/>
</calcChain>
</file>

<file path=xl/sharedStrings.xml><?xml version="1.0" encoding="utf-8"?>
<sst xmlns="http://schemas.openxmlformats.org/spreadsheetml/2006/main" count="58" uniqueCount="42">
  <si>
    <t xml:space="preserve">Balance Metalurgico Cl Septiembre </t>
  </si>
  <si>
    <t>Alim 1°Cl</t>
  </si>
  <si>
    <t>Conc 1°Cl</t>
  </si>
  <si>
    <t>Cola 1°Cl</t>
  </si>
  <si>
    <t>Alim Scv</t>
  </si>
  <si>
    <t>Conc Scv</t>
  </si>
  <si>
    <t>Cola Scv</t>
  </si>
  <si>
    <t>Conc Cl Scv</t>
  </si>
  <si>
    <t>Cola Cl Scv</t>
  </si>
  <si>
    <t xml:space="preserve">Masas </t>
  </si>
  <si>
    <t xml:space="preserve">Medido </t>
  </si>
  <si>
    <t xml:space="preserve">Ajustado </t>
  </si>
  <si>
    <t>Ley Cu</t>
  </si>
  <si>
    <t>Ley Fe</t>
  </si>
  <si>
    <t>Cl</t>
  </si>
  <si>
    <t>%Cu</t>
  </si>
  <si>
    <t xml:space="preserve">Rec Cu </t>
  </si>
  <si>
    <t>Masspull</t>
  </si>
  <si>
    <t>RE</t>
  </si>
  <si>
    <t>Scv</t>
  </si>
  <si>
    <t>Cl Scv</t>
  </si>
  <si>
    <t xml:space="preserve">Global </t>
  </si>
  <si>
    <t>Equipo</t>
  </si>
  <si>
    <t>Split Factor Masa</t>
  </si>
  <si>
    <t>Split Factor CuF</t>
  </si>
  <si>
    <t>1° Cleaner Ro</t>
  </si>
  <si>
    <t>Scavenger</t>
  </si>
  <si>
    <t>Cleaner Scavenger</t>
  </si>
  <si>
    <t>Jameson</t>
  </si>
  <si>
    <t>Pre Cl Scv</t>
  </si>
  <si>
    <t>Bal Pre-Cl-SCV Dic</t>
  </si>
  <si>
    <t>Ley de Alim.</t>
  </si>
  <si>
    <t>Descripción Cliente</t>
  </si>
  <si>
    <t>Rec CuF</t>
  </si>
  <si>
    <t>Rec Másica</t>
  </si>
  <si>
    <t>Fuente</t>
  </si>
  <si>
    <t>Pre Cl Ro</t>
  </si>
  <si>
    <t>23. Balance Pre-Cl (2)</t>
  </si>
  <si>
    <t>Simulacion</t>
  </si>
  <si>
    <t>1° Cleaner Scavenger</t>
  </si>
  <si>
    <t>1° Cleaner Rougher</t>
  </si>
  <si>
    <t xml:space="preserve">Jameson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</si>
</sst>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0E284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2" fontId="0" fillId="0" borderId="2" xfId="0" applyNumberForma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E28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Balance de Masas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 Sep Día'!$A$4</c:f>
              <c:strCache>
                <c:ptCount val="1"/>
                <c:pt idx="0">
                  <c:v>Medido 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'Bal Sep Día'!$B$2:$I$2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Cola 1°Cl</c:v>
                </c:pt>
                <c:pt idx="3">
                  <c:v>Alim Scv</c:v>
                </c:pt>
                <c:pt idx="4">
                  <c:v>Conc Scv</c:v>
                </c:pt>
                <c:pt idx="5">
                  <c:v>Cola Scv</c:v>
                </c:pt>
                <c:pt idx="6">
                  <c:v>Conc Cl Scv</c:v>
                </c:pt>
                <c:pt idx="7">
                  <c:v>Cola Cl Scv</c:v>
                </c:pt>
              </c:strCache>
            </c:strRef>
          </c:cat>
          <c:val>
            <c:numRef>
              <c:f>'Bal Sep Día'!$B$4:$I$4</c:f>
              <c:numCache>
                <c:formatCode>0.00</c:formatCode>
                <c:ptCount val="8"/>
                <c:pt idx="0">
                  <c:v>23.159999999999997</c:v>
                </c:pt>
                <c:pt idx="1">
                  <c:v>0.85556435643564366</c:v>
                </c:pt>
                <c:pt idx="2">
                  <c:v>23.015999999999998</c:v>
                </c:pt>
                <c:pt idx="3">
                  <c:v>28.139999999999997</c:v>
                </c:pt>
                <c:pt idx="4">
                  <c:v>9.7714285714285722</c:v>
                </c:pt>
                <c:pt idx="5">
                  <c:v>21.703999999999997</c:v>
                </c:pt>
                <c:pt idx="6">
                  <c:v>1.6506885245901641</c:v>
                </c:pt>
                <c:pt idx="7">
                  <c:v>8.3184000000000005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49-4228-BB06-800229EFB87A}"/>
            </c:ext>
          </c:extLst>
        </c:ser>
        <c:ser>
          <c:idx val="1"/>
          <c:order val="1"/>
          <c:tx>
            <c:strRef>
              <c:f>'Bal Sep Día'!$A$5</c:f>
              <c:strCache>
                <c:ptCount val="1"/>
                <c:pt idx="0">
                  <c:v>Ajustado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'Bal Sep Día'!$B$2:$I$2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Cola 1°Cl</c:v>
                </c:pt>
                <c:pt idx="3">
                  <c:v>Alim Scv</c:v>
                </c:pt>
                <c:pt idx="4">
                  <c:v>Conc Scv</c:v>
                </c:pt>
                <c:pt idx="5">
                  <c:v>Cola Scv</c:v>
                </c:pt>
                <c:pt idx="6">
                  <c:v>Conc Cl Scv</c:v>
                </c:pt>
                <c:pt idx="7">
                  <c:v>Cola Cl Scv</c:v>
                </c:pt>
              </c:strCache>
            </c:strRef>
          </c:cat>
          <c:val>
            <c:numRef>
              <c:f>'Bal Sep Día'!$B$5:$I$5</c:f>
              <c:numCache>
                <c:formatCode>0.00</c:formatCode>
                <c:ptCount val="8"/>
                <c:pt idx="0">
                  <c:v>23.839269189030556</c:v>
                </c:pt>
                <c:pt idx="1">
                  <c:v>0.81989291020681754</c:v>
                </c:pt>
                <c:pt idx="2">
                  <c:v>23.019376278822957</c:v>
                </c:pt>
                <c:pt idx="3">
                  <c:v>30.640169899679471</c:v>
                </c:pt>
                <c:pt idx="4">
                  <c:v>9.3497757475803933</c:v>
                </c:pt>
                <c:pt idx="5">
                  <c:v>21.290394152110633</c:v>
                </c:pt>
                <c:pt idx="6">
                  <c:v>1.7289821267086865</c:v>
                </c:pt>
                <c:pt idx="7">
                  <c:v>7.6207936208472704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49-4228-BB06-800229EFB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02063"/>
        <c:axId val="2028902543"/>
      </c:lineChart>
      <c:dateAx>
        <c:axId val="2028902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Nombre Flujos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920000" spcFirstLastPara="1" vertOverflow="ellipsis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28902543"/>
        <c:crosses val="autoZero"/>
        <c:auto val="0"/>
        <c:lblOffset val="100"/>
        <c:baseTimeUnit val="days"/>
        <c:majorUnit val="1"/>
      </c:dateAx>
      <c:valAx>
        <c:axId val="202890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Masa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2890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 b="1">
          <a:ln>
            <a:noFill/>
          </a:ln>
          <a:solidFill>
            <a:schemeClr val="tx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Balance de Ley</a:t>
            </a:r>
            <a:r>
              <a:rPr lang="es-CL" baseline="0"/>
              <a:t> de Cu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 Sep Día'!$A$7</c:f>
              <c:strCache>
                <c:ptCount val="1"/>
                <c:pt idx="0">
                  <c:v>Medido </c:v>
                </c:pt>
              </c:strCache>
            </c:strRef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'Bal Sep Día'!$B$2:$I$2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Cola 1°Cl</c:v>
                </c:pt>
                <c:pt idx="3">
                  <c:v>Alim Scv</c:v>
                </c:pt>
                <c:pt idx="4">
                  <c:v>Conc Scv</c:v>
                </c:pt>
                <c:pt idx="5">
                  <c:v>Cola Scv</c:v>
                </c:pt>
                <c:pt idx="6">
                  <c:v>Conc Cl Scv</c:v>
                </c:pt>
                <c:pt idx="7">
                  <c:v>Cola Cl Scv</c:v>
                </c:pt>
              </c:strCache>
            </c:strRef>
          </c:cat>
          <c:val>
            <c:numRef>
              <c:f>'Bal Sep Día'!$B$7:$I$7</c:f>
              <c:numCache>
                <c:formatCode>0.00</c:formatCode>
                <c:ptCount val="8"/>
                <c:pt idx="0">
                  <c:v>2.2959999999999998</c:v>
                </c:pt>
                <c:pt idx="1">
                  <c:v>25.77</c:v>
                </c:pt>
                <c:pt idx="2">
                  <c:v>1.6850000000000001</c:v>
                </c:pt>
                <c:pt idx="3">
                  <c:v>2.085</c:v>
                </c:pt>
                <c:pt idx="4">
                  <c:v>5.92</c:v>
                </c:pt>
                <c:pt idx="5">
                  <c:v>0.154</c:v>
                </c:pt>
                <c:pt idx="6">
                  <c:v>23.39</c:v>
                </c:pt>
                <c:pt idx="7">
                  <c:v>2.8260000000000001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FC-45B1-9B12-C433ABC50DFB}"/>
            </c:ext>
          </c:extLst>
        </c:ser>
        <c:ser>
          <c:idx val="1"/>
          <c:order val="1"/>
          <c:tx>
            <c:strRef>
              <c:f>'Bal Sep Día'!$A$8</c:f>
              <c:strCache>
                <c:ptCount val="1"/>
                <c:pt idx="0">
                  <c:v>Ajustado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'Bal Sep Día'!$B$2:$I$2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Cola 1°Cl</c:v>
                </c:pt>
                <c:pt idx="3">
                  <c:v>Alim Scv</c:v>
                </c:pt>
                <c:pt idx="4">
                  <c:v>Conc Scv</c:v>
                </c:pt>
                <c:pt idx="5">
                  <c:v>Cola Scv</c:v>
                </c:pt>
                <c:pt idx="6">
                  <c:v>Conc Cl Scv</c:v>
                </c:pt>
                <c:pt idx="7">
                  <c:v>Cola Cl Scv</c:v>
                </c:pt>
              </c:strCache>
            </c:strRef>
          </c:cat>
          <c:val>
            <c:numRef>
              <c:f>'Bal Sep Día'!$B$8:$I$8</c:f>
              <c:numCache>
                <c:formatCode>0.00</c:formatCode>
                <c:ptCount val="8"/>
                <c:pt idx="0">
                  <c:v>2.5167593823077405</c:v>
                </c:pt>
                <c:pt idx="1">
                  <c:v>24.813393094834044</c:v>
                </c:pt>
                <c:pt idx="2">
                  <c:v>1.7226087653086111</c:v>
                </c:pt>
                <c:pt idx="3">
                  <c:v>1.9948763045378308</c:v>
                </c:pt>
                <c:pt idx="4">
                  <c:v>6.1886437369149094</c:v>
                </c:pt>
                <c:pt idx="5">
                  <c:v>0.15316380280810138</c:v>
                </c:pt>
                <c:pt idx="6">
                  <c:v>21.048489044970196</c:v>
                </c:pt>
                <c:pt idx="7">
                  <c:v>2.817287873901944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FC-45B1-9B12-C433ABC50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02063"/>
        <c:axId val="2028902543"/>
      </c:lineChart>
      <c:dateAx>
        <c:axId val="2028902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Nombre Flujos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920000" spcFirstLastPara="1" vertOverflow="ellipsis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28902543"/>
        <c:crosses val="autoZero"/>
        <c:auto val="0"/>
        <c:lblOffset val="100"/>
        <c:baseTimeUnit val="days"/>
        <c:majorUnit val="1"/>
      </c:dateAx>
      <c:valAx>
        <c:axId val="202890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Ley de Cu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2890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 b="1">
          <a:ln>
            <a:noFill/>
          </a:ln>
          <a:solidFill>
            <a:schemeClr val="tx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Balance de Ley</a:t>
            </a:r>
            <a:r>
              <a:rPr lang="es-CL" baseline="0"/>
              <a:t> de Fe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 Sep Día'!$A$10</c:f>
              <c:strCache>
                <c:ptCount val="1"/>
                <c:pt idx="0">
                  <c:v>Medido </c:v>
                </c:pt>
              </c:strCache>
            </c:strRef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'Bal Sep Día'!$B$2:$I$2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Cola 1°Cl</c:v>
                </c:pt>
                <c:pt idx="3">
                  <c:v>Alim Scv</c:v>
                </c:pt>
                <c:pt idx="4">
                  <c:v>Conc Scv</c:v>
                </c:pt>
                <c:pt idx="5">
                  <c:v>Cola Scv</c:v>
                </c:pt>
                <c:pt idx="6">
                  <c:v>Conc Cl Scv</c:v>
                </c:pt>
                <c:pt idx="7">
                  <c:v>Cola Cl Scv</c:v>
                </c:pt>
              </c:strCache>
            </c:strRef>
          </c:cat>
          <c:val>
            <c:numRef>
              <c:f>'Bal Sep Día'!$B$10:$I$10</c:f>
              <c:numCache>
                <c:formatCode>0.00</c:formatCode>
                <c:ptCount val="8"/>
                <c:pt idx="0">
                  <c:v>5.56</c:v>
                </c:pt>
                <c:pt idx="1">
                  <c:v>17.100000000000001</c:v>
                </c:pt>
                <c:pt idx="2">
                  <c:v>6.15</c:v>
                </c:pt>
                <c:pt idx="3">
                  <c:v>6.33</c:v>
                </c:pt>
                <c:pt idx="4">
                  <c:v>10.3</c:v>
                </c:pt>
                <c:pt idx="5">
                  <c:v>3.81</c:v>
                </c:pt>
                <c:pt idx="6">
                  <c:v>23.39</c:v>
                </c:pt>
                <c:pt idx="7">
                  <c:v>2.8260000000000001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F-4E2B-B690-334CB00D4087}"/>
            </c:ext>
          </c:extLst>
        </c:ser>
        <c:ser>
          <c:idx val="1"/>
          <c:order val="1"/>
          <c:tx>
            <c:strRef>
              <c:f>'Bal Sep Día'!$A$11</c:f>
              <c:strCache>
                <c:ptCount val="1"/>
                <c:pt idx="0">
                  <c:v>Ajustado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'Bal Sep Día'!$B$2:$I$2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Cola 1°Cl</c:v>
                </c:pt>
                <c:pt idx="3">
                  <c:v>Alim Scv</c:v>
                </c:pt>
                <c:pt idx="4">
                  <c:v>Conc Scv</c:v>
                </c:pt>
                <c:pt idx="5">
                  <c:v>Cola Scv</c:v>
                </c:pt>
                <c:pt idx="6">
                  <c:v>Conc Cl Scv</c:v>
                </c:pt>
                <c:pt idx="7">
                  <c:v>Cola Cl Scv</c:v>
                </c:pt>
              </c:strCache>
            </c:strRef>
          </c:cat>
          <c:val>
            <c:numRef>
              <c:f>'Bal Sep Día'!$B$11:$I$11</c:f>
              <c:numCache>
                <c:formatCode>0.00</c:formatCode>
                <c:ptCount val="8"/>
                <c:pt idx="0">
                  <c:v>6.1264580580174224</c:v>
                </c:pt>
                <c:pt idx="1">
                  <c:v>16.915692936090288</c:v>
                </c:pt>
                <c:pt idx="2">
                  <c:v>5.7421723513679961</c:v>
                </c:pt>
                <c:pt idx="3">
                  <c:v>5.0758110750101091</c:v>
                </c:pt>
                <c:pt idx="4">
                  <c:v>7.4505788028987965</c:v>
                </c:pt>
                <c:pt idx="5">
                  <c:v>4.0329207585664628</c:v>
                </c:pt>
                <c:pt idx="6">
                  <c:v>26.789608315452998</c:v>
                </c:pt>
                <c:pt idx="7">
                  <c:v>3.0629995885299039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1F-4E2B-B690-334CB00D4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02063"/>
        <c:axId val="2028902543"/>
      </c:lineChart>
      <c:dateAx>
        <c:axId val="2028902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Nombre Flujos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920000" spcFirstLastPara="1" vertOverflow="ellipsis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28902543"/>
        <c:crosses val="autoZero"/>
        <c:auto val="0"/>
        <c:lblOffset val="100"/>
        <c:baseTimeUnit val="days"/>
        <c:majorUnit val="1"/>
      </c:dateAx>
      <c:valAx>
        <c:axId val="202890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Ley de Fe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2890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 b="1">
          <a:ln>
            <a:noFill/>
          </a:ln>
          <a:solidFill>
            <a:schemeClr val="tx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11</xdr:row>
      <xdr:rowOff>157162</xdr:rowOff>
    </xdr:from>
    <xdr:to>
      <xdr:col>6</xdr:col>
      <xdr:colOff>433800</xdr:colOff>
      <xdr:row>25</xdr:row>
      <xdr:rowOff>190162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0127F0-2632-5914-05C3-F0902DC7A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581025</xdr:colOff>
      <xdr:row>11</xdr:row>
      <xdr:rowOff>142875</xdr:rowOff>
    </xdr:from>
    <xdr:to>
      <xdr:col>13</xdr:col>
      <xdr:colOff>348075</xdr:colOff>
      <xdr:row>25</xdr:row>
      <xdr:rowOff>175875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2239EE-A60B-42CB-83B0-8F087895E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466725</xdr:colOff>
      <xdr:row>11</xdr:row>
      <xdr:rowOff>133350</xdr:rowOff>
    </xdr:from>
    <xdr:to>
      <xdr:col>20</xdr:col>
      <xdr:colOff>519525</xdr:colOff>
      <xdr:row>25</xdr:row>
      <xdr:rowOff>166350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ACEF051-CE15-49EC-B873-E4875A4C4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showGridLines="0" topLeftCell="A3" workbookViewId="0">
      <selection activeCell="I37" sqref="I37"/>
    </sheetView>
  </sheetViews>
  <sheetFormatPr baseColWidth="10" defaultColWidth="9.140625" defaultRowHeight="15" x14ac:dyDescent="0.25"/>
  <cols>
    <col min="1" max="1" width="16.140625" style="1" bestFit="1" customWidth="1"/>
    <col min="2" max="2" width="9.42578125" bestFit="1" customWidth="1"/>
    <col min="3" max="3" width="9.85546875" bestFit="1" customWidth="1"/>
    <col min="4" max="4" width="9.28515625" customWidth="1"/>
    <col min="5" max="5" width="9" bestFit="1" customWidth="1"/>
    <col min="6" max="6" width="9.42578125" bestFit="1" customWidth="1"/>
    <col min="7" max="7" width="8.85546875" bestFit="1" customWidth="1"/>
    <col min="8" max="8" width="11.7109375" bestFit="1" customWidth="1"/>
    <col min="9" max="9" width="11.140625" bestFit="1" customWidth="1"/>
  </cols>
  <sheetData>
    <row r="1" spans="1:9" ht="26.2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spans="1:9" x14ac:dyDescent="0.25">
      <c r="A3" s="3" t="s">
        <v>9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6" t="s">
        <v>10</v>
      </c>
      <c r="B4" s="2">
        <v>23.159999999999997</v>
      </c>
      <c r="C4" s="2">
        <v>0.85556435643564366</v>
      </c>
      <c r="D4" s="2">
        <v>23.015999999999998</v>
      </c>
      <c r="E4" s="2">
        <v>28.139999999999997</v>
      </c>
      <c r="F4" s="2">
        <v>9.7714285714285722</v>
      </c>
      <c r="G4" s="2">
        <v>21.703999999999997</v>
      </c>
      <c r="H4" s="2">
        <v>1.6506885245901641</v>
      </c>
      <c r="I4" s="2">
        <v>8.3184000000000005</v>
      </c>
    </row>
    <row r="5" spans="1:9" x14ac:dyDescent="0.25">
      <c r="A5" s="6" t="s">
        <v>11</v>
      </c>
      <c r="B5" s="2">
        <v>23.839269189030556</v>
      </c>
      <c r="C5" s="2">
        <v>0.81989291020681754</v>
      </c>
      <c r="D5" s="2">
        <v>23.019376278822957</v>
      </c>
      <c r="E5" s="2">
        <v>30.640169899679471</v>
      </c>
      <c r="F5" s="2">
        <v>9.3497757475803933</v>
      </c>
      <c r="G5" s="2">
        <v>21.290394152110633</v>
      </c>
      <c r="H5" s="2">
        <v>1.7289821267086865</v>
      </c>
      <c r="I5" s="2">
        <v>7.6207936208472704</v>
      </c>
    </row>
    <row r="6" spans="1:9" x14ac:dyDescent="0.25">
      <c r="A6" s="7" t="s">
        <v>12</v>
      </c>
      <c r="B6" s="7"/>
      <c r="C6" s="7"/>
      <c r="D6" s="7"/>
      <c r="E6" s="7"/>
      <c r="F6" s="7"/>
      <c r="G6" s="7"/>
      <c r="H6" s="7"/>
      <c r="I6" s="7"/>
    </row>
    <row r="7" spans="1:9" x14ac:dyDescent="0.25">
      <c r="A7" s="6" t="s">
        <v>10</v>
      </c>
      <c r="B7" s="2">
        <v>2.2959999999999998</v>
      </c>
      <c r="C7" s="2">
        <v>25.77</v>
      </c>
      <c r="D7" s="2">
        <v>1.6850000000000001</v>
      </c>
      <c r="E7" s="2">
        <v>2.085</v>
      </c>
      <c r="F7" s="2">
        <v>5.92</v>
      </c>
      <c r="G7" s="2">
        <v>0.154</v>
      </c>
      <c r="H7" s="2">
        <v>23.39</v>
      </c>
      <c r="I7" s="2">
        <v>2.8260000000000001</v>
      </c>
    </row>
    <row r="8" spans="1:9" x14ac:dyDescent="0.25">
      <c r="A8" s="6" t="s">
        <v>11</v>
      </c>
      <c r="B8" s="2">
        <v>2.5167593823077405</v>
      </c>
      <c r="C8" s="2">
        <v>24.813393094834044</v>
      </c>
      <c r="D8" s="2">
        <v>1.7226087653086111</v>
      </c>
      <c r="E8" s="2">
        <v>1.9948763045378308</v>
      </c>
      <c r="F8" s="2">
        <v>6.1886437369149094</v>
      </c>
      <c r="G8" s="2">
        <v>0.15316380280810138</v>
      </c>
      <c r="H8" s="2">
        <v>21.048489044970196</v>
      </c>
      <c r="I8" s="2">
        <v>2.817287873901944</v>
      </c>
    </row>
    <row r="9" spans="1:9" x14ac:dyDescent="0.25">
      <c r="A9" s="7" t="s">
        <v>13</v>
      </c>
      <c r="B9" s="7"/>
      <c r="C9" s="7"/>
      <c r="D9" s="7"/>
      <c r="E9" s="7"/>
      <c r="F9" s="7"/>
      <c r="G9" s="7"/>
      <c r="H9" s="7"/>
      <c r="I9" s="7"/>
    </row>
    <row r="10" spans="1:9" x14ac:dyDescent="0.25">
      <c r="A10" s="6" t="s">
        <v>10</v>
      </c>
      <c r="B10" s="2">
        <v>5.56</v>
      </c>
      <c r="C10" s="2">
        <v>17.100000000000001</v>
      </c>
      <c r="D10" s="2">
        <v>6.15</v>
      </c>
      <c r="E10" s="2">
        <v>6.33</v>
      </c>
      <c r="F10" s="2">
        <v>10.3</v>
      </c>
      <c r="G10" s="2">
        <v>3.81</v>
      </c>
      <c r="H10" s="2">
        <v>23.39</v>
      </c>
      <c r="I10" s="2">
        <v>2.8260000000000001</v>
      </c>
    </row>
    <row r="11" spans="1:9" x14ac:dyDescent="0.25">
      <c r="A11" s="6" t="s">
        <v>11</v>
      </c>
      <c r="B11" s="2">
        <v>6.1264580580174224</v>
      </c>
      <c r="C11" s="2">
        <v>16.915692936090288</v>
      </c>
      <c r="D11" s="2">
        <v>5.7421723513679961</v>
      </c>
      <c r="E11" s="2">
        <v>5.0758110750101091</v>
      </c>
      <c r="F11" s="2">
        <v>7.4505788028987965</v>
      </c>
      <c r="G11" s="2">
        <v>4.0329207585664628</v>
      </c>
      <c r="H11" s="2">
        <v>26.789608315452998</v>
      </c>
      <c r="I11" s="2">
        <v>3.0629995885299039</v>
      </c>
    </row>
    <row r="29" spans="1:5" x14ac:dyDescent="0.25">
      <c r="B29" s="6" t="s">
        <v>14</v>
      </c>
      <c r="C29" s="6" t="s">
        <v>19</v>
      </c>
      <c r="D29" s="6" t="s">
        <v>20</v>
      </c>
      <c r="E29" s="6" t="s">
        <v>21</v>
      </c>
    </row>
    <row r="30" spans="1:5" x14ac:dyDescent="0.25">
      <c r="A30" s="6" t="s">
        <v>15</v>
      </c>
      <c r="B30" s="2">
        <v>24.813393094834044</v>
      </c>
      <c r="C30" s="2">
        <v>6.1886437369149094</v>
      </c>
      <c r="D30" s="2">
        <v>3.4011473175321356</v>
      </c>
      <c r="E30" s="2">
        <v>22.25954023162538</v>
      </c>
    </row>
    <row r="31" spans="1:5" x14ac:dyDescent="0.25">
      <c r="A31" s="6" t="s">
        <v>16</v>
      </c>
      <c r="B31" s="2">
        <v>33.908505801129181</v>
      </c>
      <c r="C31" s="2">
        <v>94.66502108154657</v>
      </c>
      <c r="D31" s="2">
        <v>62.894801769315826</v>
      </c>
      <c r="E31" s="2">
        <v>94.564928771993863</v>
      </c>
    </row>
    <row r="32" spans="1:5" x14ac:dyDescent="0.25">
      <c r="A32" s="6" t="s">
        <v>17</v>
      </c>
      <c r="B32" s="2">
        <v>3.4392535429906737</v>
      </c>
      <c r="C32" s="2">
        <v>30.514764696778663</v>
      </c>
      <c r="D32" s="2">
        <v>18.492230973091793</v>
      </c>
      <c r="E32" s="2">
        <v>10.69191767878668</v>
      </c>
    </row>
    <row r="33" spans="1:5" x14ac:dyDescent="0.25">
      <c r="A33" s="6" t="s">
        <v>18</v>
      </c>
      <c r="B33" s="2">
        <v>9.8592631736139289</v>
      </c>
      <c r="C33" s="2">
        <v>3.1022694103074642</v>
      </c>
      <c r="D33" s="2">
        <v>3.4011473175321356</v>
      </c>
      <c r="E33" s="2">
        <v>8.8445245851093297</v>
      </c>
    </row>
  </sheetData>
  <mergeCells count="4">
    <mergeCell ref="A1:I1"/>
    <mergeCell ref="A3:I3"/>
    <mergeCell ref="A6:I6"/>
    <mergeCell ref="A9:I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0CEF-083F-42E4-8C3C-DD877C89E075}">
  <dimension ref="A1:D4"/>
  <sheetViews>
    <sheetView workbookViewId="0">
      <selection activeCell="F10" sqref="F10"/>
    </sheetView>
  </sheetViews>
  <sheetFormatPr baseColWidth="10" defaultRowHeight="15" x14ac:dyDescent="0.25"/>
  <cols>
    <col min="1" max="1" width="13.7109375" customWidth="1"/>
    <col min="2" max="3" width="12" bestFit="1" customWidth="1"/>
  </cols>
  <sheetData>
    <row r="1" spans="1:4" ht="30" x14ac:dyDescent="0.25">
      <c r="A1" s="6" t="s">
        <v>22</v>
      </c>
      <c r="B1" s="8" t="s">
        <v>23</v>
      </c>
      <c r="C1" s="8" t="s">
        <v>24</v>
      </c>
      <c r="D1" s="8" t="s">
        <v>18</v>
      </c>
    </row>
    <row r="2" spans="1:4" ht="27" customHeight="1" x14ac:dyDescent="0.25">
      <c r="A2" s="6" t="s">
        <v>25</v>
      </c>
      <c r="B2" s="2">
        <v>3.4392535429906737E-2</v>
      </c>
      <c r="C2" s="2">
        <v>0.3390850580112918</v>
      </c>
      <c r="D2" s="2">
        <f>C2/B2</f>
        <v>9.8592631736139289</v>
      </c>
    </row>
    <row r="3" spans="1:4" ht="27" customHeight="1" x14ac:dyDescent="0.25">
      <c r="A3" s="6" t="s">
        <v>26</v>
      </c>
      <c r="B3" s="2">
        <v>0.30514764696778662</v>
      </c>
      <c r="C3" s="2">
        <v>0.94665021081546574</v>
      </c>
      <c r="D3" s="2">
        <f>C3/B3</f>
        <v>3.1022694103074646</v>
      </c>
    </row>
    <row r="4" spans="1:4" ht="30" customHeight="1" x14ac:dyDescent="0.25">
      <c r="A4" s="6" t="s">
        <v>27</v>
      </c>
      <c r="B4" s="2">
        <v>0.18492230973091794</v>
      </c>
      <c r="C4" s="2">
        <v>0.62894801769315822</v>
      </c>
      <c r="D4" s="2">
        <f>C4/B4</f>
        <v>3.4011473175321352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4EFF1-9E88-47C7-8525-984E24BF343A}">
  <dimension ref="A1:F3"/>
  <sheetViews>
    <sheetView workbookViewId="0">
      <selection activeCell="B1" sqref="B1"/>
    </sheetView>
  </sheetViews>
  <sheetFormatPr baseColWidth="10" defaultRowHeight="15" x14ac:dyDescent="0.25"/>
  <cols>
    <col min="1" max="5" width="12.140625" customWidth="1"/>
    <col min="6" max="6" width="18.28515625" bestFit="1" customWidth="1"/>
  </cols>
  <sheetData>
    <row r="1" spans="1:6" ht="30" x14ac:dyDescent="0.25">
      <c r="A1" s="6" t="s">
        <v>31</v>
      </c>
      <c r="B1" s="6" t="s">
        <v>22</v>
      </c>
      <c r="C1" s="6" t="s">
        <v>32</v>
      </c>
      <c r="D1" s="6" t="s">
        <v>34</v>
      </c>
      <c r="E1" s="6" t="s">
        <v>33</v>
      </c>
      <c r="F1" s="6" t="s">
        <v>35</v>
      </c>
    </row>
    <row r="2" spans="1:6" x14ac:dyDescent="0.25">
      <c r="A2" s="9">
        <v>1.08</v>
      </c>
      <c r="B2" s="9" t="s">
        <v>28</v>
      </c>
      <c r="C2" s="9" t="s">
        <v>29</v>
      </c>
      <c r="D2" s="9">
        <v>10.69</v>
      </c>
      <c r="E2" s="9">
        <v>76.739999999999995</v>
      </c>
      <c r="F2" s="9" t="s">
        <v>30</v>
      </c>
    </row>
    <row r="3" spans="1:6" x14ac:dyDescent="0.25">
      <c r="A3" s="10">
        <v>3.17</v>
      </c>
      <c r="B3" s="10" t="s">
        <v>28</v>
      </c>
      <c r="C3" s="10" t="s">
        <v>36</v>
      </c>
      <c r="D3" s="10">
        <v>68.72</v>
      </c>
      <c r="E3" s="10">
        <v>8.25</v>
      </c>
      <c r="F3" s="10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604A-F89A-4750-8219-8D2335C6A3FC}">
  <dimension ref="A1:D10"/>
  <sheetViews>
    <sheetView tabSelected="1" workbookViewId="0">
      <selection activeCell="G7" sqref="G7"/>
    </sheetView>
  </sheetViews>
  <sheetFormatPr baseColWidth="10" defaultRowHeight="15" x14ac:dyDescent="0.25"/>
  <cols>
    <col min="1" max="4" width="11.7109375" customWidth="1"/>
  </cols>
  <sheetData>
    <row r="1" spans="1:4" s="1" customFormat="1" ht="45" x14ac:dyDescent="0.25">
      <c r="A1" s="6" t="s">
        <v>38</v>
      </c>
      <c r="B1" s="6" t="s">
        <v>22</v>
      </c>
      <c r="C1" s="6" t="s">
        <v>23</v>
      </c>
      <c r="D1" s="6" t="s">
        <v>24</v>
      </c>
    </row>
    <row r="2" spans="1:4" s="1" customFormat="1" x14ac:dyDescent="0.25">
      <c r="A2" s="11">
        <v>1</v>
      </c>
      <c r="B2" s="12" t="s">
        <v>28</v>
      </c>
      <c r="C2" s="13">
        <v>8.2500000000000004E-2</v>
      </c>
      <c r="D2" s="13">
        <v>0.68720000000000003</v>
      </c>
    </row>
    <row r="3" spans="1:4" s="1" customFormat="1" x14ac:dyDescent="0.25">
      <c r="A3" s="11"/>
      <c r="B3" s="12" t="s">
        <v>26</v>
      </c>
      <c r="C3" s="13">
        <v>0.30514764696778662</v>
      </c>
      <c r="D3" s="13">
        <v>0.94665021081546574</v>
      </c>
    </row>
    <row r="4" spans="1:4" s="1" customFormat="1" ht="30" x14ac:dyDescent="0.25">
      <c r="A4" s="11"/>
      <c r="B4" s="12" t="s">
        <v>39</v>
      </c>
      <c r="C4" s="13">
        <v>0.18492230973091794</v>
      </c>
      <c r="D4" s="13">
        <v>0.62894801769315822</v>
      </c>
    </row>
    <row r="5" spans="1:4" s="1" customFormat="1" x14ac:dyDescent="0.25">
      <c r="A5" s="11">
        <v>2</v>
      </c>
      <c r="B5" s="12" t="s">
        <v>41</v>
      </c>
      <c r="C5" s="13">
        <v>0.1069</v>
      </c>
      <c r="D5" s="13">
        <v>0.76739999999999997</v>
      </c>
    </row>
    <row r="6" spans="1:4" s="1" customFormat="1" x14ac:dyDescent="0.25">
      <c r="A6" s="11"/>
      <c r="B6" s="12" t="s">
        <v>26</v>
      </c>
      <c r="C6" s="13">
        <v>0.30514764696778662</v>
      </c>
      <c r="D6" s="13">
        <v>0.94665021081546574</v>
      </c>
    </row>
    <row r="7" spans="1:4" s="1" customFormat="1" ht="30" x14ac:dyDescent="0.25">
      <c r="A7" s="11"/>
      <c r="B7" s="12" t="s">
        <v>39</v>
      </c>
      <c r="C7" s="13">
        <v>0.18492230973091794</v>
      </c>
      <c r="D7" s="13">
        <v>0.62894801769315822</v>
      </c>
    </row>
    <row r="8" spans="1:4" s="1" customFormat="1" ht="30" x14ac:dyDescent="0.25">
      <c r="A8" s="11">
        <v>3</v>
      </c>
      <c r="B8" s="12" t="s">
        <v>40</v>
      </c>
      <c r="C8" s="13">
        <v>3.4392535429906737E-2</v>
      </c>
      <c r="D8" s="13">
        <v>0.3390850580112918</v>
      </c>
    </row>
    <row r="9" spans="1:4" s="1" customFormat="1" x14ac:dyDescent="0.25">
      <c r="A9" s="11"/>
      <c r="B9" s="12" t="s">
        <v>26</v>
      </c>
      <c r="C9" s="13">
        <v>0.30514764696778662</v>
      </c>
      <c r="D9" s="13">
        <v>0.94665021081546574</v>
      </c>
    </row>
    <row r="10" spans="1:4" s="1" customFormat="1" ht="30" x14ac:dyDescent="0.25">
      <c r="A10" s="11"/>
      <c r="B10" s="12" t="s">
        <v>39</v>
      </c>
      <c r="C10" s="13">
        <v>0.18492230973091794</v>
      </c>
      <c r="D10" s="13">
        <v>0.62894801769315822</v>
      </c>
    </row>
  </sheetData>
  <mergeCells count="3">
    <mergeCell ref="A2:A4"/>
    <mergeCell ref="A5:A7"/>
    <mergeCell ref="A8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Bal Sep Día</vt:lpstr>
      <vt:lpstr>SF</vt:lpstr>
      <vt:lpstr>SF para Jameson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Rojas</dc:creator>
  <cp:lastModifiedBy>Ignacio Rojas</cp:lastModifiedBy>
  <dcterms:created xsi:type="dcterms:W3CDTF">2015-06-05T18:19:34Z</dcterms:created>
  <dcterms:modified xsi:type="dcterms:W3CDTF">2026-01-12T02:33:29Z</dcterms:modified>
</cp:coreProperties>
</file>